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RS singh\Documents\"/>
    </mc:Choice>
  </mc:AlternateContent>
  <xr:revisionPtr revIDLastSave="0" documentId="13_ncr:1_{CDC772C1-CF7D-4921-A8C4-84099FCBAE78}" xr6:coauthVersionLast="47" xr6:coauthVersionMax="47" xr10:uidLastSave="{00000000-0000-0000-0000-000000000000}"/>
  <bookViews>
    <workbookView xWindow="-108" yWindow="-108" windowWidth="23256" windowHeight="12456" activeTab="3" xr2:uid="{80827276-7F78-425D-B9F7-200787A6375C}"/>
  </bookViews>
  <sheets>
    <sheet name="Original_Data" sheetId="1" r:id="rId1"/>
    <sheet name="CL_Data" sheetId="2" r:id="rId2"/>
    <sheet name="Analysis Page" sheetId="3" r:id="rId3"/>
    <sheet name="DashBoard" sheetId="4" r:id="rId4"/>
  </sheets>
  <definedNames>
    <definedName name="ExternalData_1" localSheetId="1" hidden="1">'CL_Data'!$A$1:$V$101</definedName>
    <definedName name="Slicer_Product_Category">#N/A</definedName>
    <definedName name="Slicer_Region">#N/A</definedName>
    <definedName name="Slicer_Year">#N/A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67" i="3" l="1"/>
  <c r="N67" i="3"/>
  <c r="M68" i="3"/>
  <c r="N68" i="3"/>
  <c r="L68" i="3"/>
  <c r="L53" i="3"/>
  <c r="M53" i="3"/>
  <c r="N53" i="3"/>
  <c r="L54" i="3"/>
  <c r="M54" i="3"/>
  <c r="N54" i="3"/>
  <c r="L55" i="3"/>
  <c r="M55" i="3"/>
  <c r="N55" i="3"/>
  <c r="L56" i="3"/>
  <c r="M56" i="3"/>
  <c r="N56" i="3"/>
  <c r="L57" i="3"/>
  <c r="M57" i="3"/>
  <c r="N57" i="3"/>
  <c r="L58" i="3"/>
  <c r="M58" i="3"/>
  <c r="N58" i="3"/>
  <c r="L59" i="3"/>
  <c r="M59" i="3"/>
  <c r="N59" i="3"/>
  <c r="L60" i="3"/>
  <c r="M60" i="3"/>
  <c r="N60" i="3"/>
  <c r="L61" i="3"/>
  <c r="M61" i="3"/>
  <c r="N61" i="3"/>
  <c r="L62" i="3"/>
  <c r="M62" i="3"/>
  <c r="N62" i="3"/>
  <c r="L63" i="3"/>
  <c r="M63" i="3"/>
  <c r="N63" i="3"/>
  <c r="L64" i="3"/>
  <c r="M64" i="3"/>
  <c r="N64" i="3"/>
  <c r="L65" i="3"/>
  <c r="M65" i="3"/>
  <c r="N65" i="3"/>
  <c r="L66" i="3"/>
  <c r="M66" i="3"/>
  <c r="N66" i="3"/>
  <c r="L67" i="3"/>
  <c r="M52" i="3"/>
  <c r="N52" i="3"/>
  <c r="L52" i="3"/>
  <c r="H29" i="3"/>
  <c r="I29" i="3"/>
  <c r="J29" i="3"/>
  <c r="K29" i="3"/>
  <c r="L29" i="3"/>
  <c r="H30" i="3"/>
  <c r="I30" i="3"/>
  <c r="J30" i="3"/>
  <c r="K30" i="3"/>
  <c r="L30" i="3"/>
  <c r="H31" i="3"/>
  <c r="I31" i="3"/>
  <c r="J31" i="3"/>
  <c r="K31" i="3"/>
  <c r="L31" i="3"/>
  <c r="H32" i="3"/>
  <c r="I32" i="3"/>
  <c r="J32" i="3"/>
  <c r="K32" i="3"/>
  <c r="L32" i="3"/>
  <c r="H33" i="3"/>
  <c r="I33" i="3"/>
  <c r="J33" i="3"/>
  <c r="K33" i="3"/>
  <c r="L33" i="3"/>
  <c r="F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A4CF3F-A69D-4608-958E-05F3B6DA22F0}" keepAlive="1" name="Query - CL_Data" description="Connection to the 'CL_Data' query in the workbook." type="5" refreshedVersion="8" background="1" saveData="1">
    <dbPr connection="Provider=Microsoft.Mashup.OleDb.1;Data Source=$Workbook$;Location=CL_Data;Extended Properties=&quot;&quot;" command="SELECT * FROM [CL_Data]"/>
  </connection>
</connections>
</file>

<file path=xl/sharedStrings.xml><?xml version="1.0" encoding="utf-8"?>
<sst xmlns="http://schemas.openxmlformats.org/spreadsheetml/2006/main" count="2201" uniqueCount="265">
  <si>
    <t>Store_ID</t>
  </si>
  <si>
    <t>Store_Location</t>
  </si>
  <si>
    <t>Customer_ID</t>
  </si>
  <si>
    <t>Customer_Name</t>
  </si>
  <si>
    <t>Age_Group</t>
  </si>
  <si>
    <t>Gender</t>
  </si>
  <si>
    <t>Region</t>
  </si>
  <si>
    <t>Product_Category</t>
  </si>
  <si>
    <t>Product_Name</t>
  </si>
  <si>
    <t>Order_Date</t>
  </si>
  <si>
    <t>Quantity</t>
  </si>
  <si>
    <t>Unit_Price</t>
  </si>
  <si>
    <t>Discount</t>
  </si>
  <si>
    <t>Total_Sales_Value</t>
  </si>
  <si>
    <t>Profit</t>
  </si>
  <si>
    <t>STR001</t>
  </si>
  <si>
    <t>Kolkata</t>
  </si>
  <si>
    <t>CUST001</t>
  </si>
  <si>
    <t>George</t>
  </si>
  <si>
    <t>46-60</t>
  </si>
  <si>
    <t>Female</t>
  </si>
  <si>
    <t>North</t>
  </si>
  <si>
    <t>Clothing</t>
  </si>
  <si>
    <t>Shirt</t>
  </si>
  <si>
    <t>10/16/2025</t>
  </si>
  <si>
    <t>CUST002</t>
  </si>
  <si>
    <t>26-35</t>
  </si>
  <si>
    <t>East</t>
  </si>
  <si>
    <t>Electronics</t>
  </si>
  <si>
    <t>Headphones</t>
  </si>
  <si>
    <t>STR008</t>
  </si>
  <si>
    <t>Ahmedabad</t>
  </si>
  <si>
    <t>CUST003</t>
  </si>
  <si>
    <t>Ian</t>
  </si>
  <si>
    <t>Male</t>
  </si>
  <si>
    <t>Dress</t>
  </si>
  <si>
    <t>10/20/2025</t>
  </si>
  <si>
    <t>CUST004</t>
  </si>
  <si>
    <t>Fiona</t>
  </si>
  <si>
    <t>Furniture</t>
  </si>
  <si>
    <t>Bed</t>
  </si>
  <si>
    <t>STR009</t>
  </si>
  <si>
    <t>Jaipur</t>
  </si>
  <si>
    <t>CUST005</t>
  </si>
  <si>
    <t>36-45</t>
  </si>
  <si>
    <t>Smartphone</t>
  </si>
  <si>
    <t>STR005</t>
  </si>
  <si>
    <t>Chennai</t>
  </si>
  <si>
    <t>CUST006</t>
  </si>
  <si>
    <t>Ethan</t>
  </si>
  <si>
    <t>South</t>
  </si>
  <si>
    <t>Books</t>
  </si>
  <si>
    <t>Textbook</t>
  </si>
  <si>
    <t>STR002</t>
  </si>
  <si>
    <t>Mumbai</t>
  </si>
  <si>
    <t>CUST007</t>
  </si>
  <si>
    <t>West</t>
  </si>
  <si>
    <t>Novel</t>
  </si>
  <si>
    <t>STR010</t>
  </si>
  <si>
    <t>Lucknow</t>
  </si>
  <si>
    <t>CUST008</t>
  </si>
  <si>
    <t>Julia</t>
  </si>
  <si>
    <t>STR006</t>
  </si>
  <si>
    <t>Hyderabad</t>
  </si>
  <si>
    <t>CUST009</t>
  </si>
  <si>
    <t>Charlie</t>
  </si>
  <si>
    <t>Sofa</t>
  </si>
  <si>
    <t>5/29/2025</t>
  </si>
  <si>
    <t>CUST010</t>
  </si>
  <si>
    <t>Alice</t>
  </si>
  <si>
    <t>18-25</t>
  </si>
  <si>
    <t>1/17/2025</t>
  </si>
  <si>
    <t>CUST011</t>
  </si>
  <si>
    <t>Tablet</t>
  </si>
  <si>
    <t>CUST012</t>
  </si>
  <si>
    <t>11/19/2025</t>
  </si>
  <si>
    <t>CUST013</t>
  </si>
  <si>
    <t>Magazine</t>
  </si>
  <si>
    <t>3/21/2025</t>
  </si>
  <si>
    <t>STR003</t>
  </si>
  <si>
    <t>Delhi</t>
  </si>
  <si>
    <t>CUST014</t>
  </si>
  <si>
    <t>CUST015</t>
  </si>
  <si>
    <t>Hannah</t>
  </si>
  <si>
    <t>CUST016</t>
  </si>
  <si>
    <t>CUST017</t>
  </si>
  <si>
    <t>Chair</t>
  </si>
  <si>
    <t>CUST018</t>
  </si>
  <si>
    <t>CUST019</t>
  </si>
  <si>
    <t>CUST020</t>
  </si>
  <si>
    <t>STR004</t>
  </si>
  <si>
    <t>Bengaluru</t>
  </si>
  <si>
    <t>CUST021</t>
  </si>
  <si>
    <t>Laptop</t>
  </si>
  <si>
    <t>11/26/2025</t>
  </si>
  <si>
    <t>CUST022</t>
  </si>
  <si>
    <t>CUST023</t>
  </si>
  <si>
    <t>CUST024</t>
  </si>
  <si>
    <t>CUST025</t>
  </si>
  <si>
    <t>CUST026</t>
  </si>
  <si>
    <t>3/23/2025</t>
  </si>
  <si>
    <t>CUST027</t>
  </si>
  <si>
    <t>CUST028</t>
  </si>
  <si>
    <t>10/17/2025</t>
  </si>
  <si>
    <t>CUST029</t>
  </si>
  <si>
    <t>1/14/2025</t>
  </si>
  <si>
    <t>CUST030</t>
  </si>
  <si>
    <t>Diana</t>
  </si>
  <si>
    <t>8/25/2025</t>
  </si>
  <si>
    <t>STR007</t>
  </si>
  <si>
    <t>Pune</t>
  </si>
  <si>
    <t>CUST031</t>
  </si>
  <si>
    <t>Comics</t>
  </si>
  <si>
    <t>CUST032</t>
  </si>
  <si>
    <t>11/20/2025</t>
  </si>
  <si>
    <t>CUST033</t>
  </si>
  <si>
    <t>Jeans</t>
  </si>
  <si>
    <t>CUST034</t>
  </si>
  <si>
    <t>Table</t>
  </si>
  <si>
    <t>7/23/2025</t>
  </si>
  <si>
    <t>CUST035</t>
  </si>
  <si>
    <t>CUST036</t>
  </si>
  <si>
    <t>CUST037</t>
  </si>
  <si>
    <t>CUST038</t>
  </si>
  <si>
    <t>12/16/2024</t>
  </si>
  <si>
    <t>CUST039</t>
  </si>
  <si>
    <t>10/15/2025</t>
  </si>
  <si>
    <t>CUST040</t>
  </si>
  <si>
    <t>12/24/2024</t>
  </si>
  <si>
    <t>CUST041</t>
  </si>
  <si>
    <t>6/20/2025</t>
  </si>
  <si>
    <t>CUST042</t>
  </si>
  <si>
    <t>12/19/2024</t>
  </si>
  <si>
    <t>CUST043</t>
  </si>
  <si>
    <t>CUST044</t>
  </si>
  <si>
    <t>CUST045</t>
  </si>
  <si>
    <t>Bob</t>
  </si>
  <si>
    <t>CUST046</t>
  </si>
  <si>
    <t>9/18/2025</t>
  </si>
  <si>
    <t>CUST047</t>
  </si>
  <si>
    <t>CUST048</t>
  </si>
  <si>
    <t>CUST049</t>
  </si>
  <si>
    <t>6/28/2025</t>
  </si>
  <si>
    <t>CUST050</t>
  </si>
  <si>
    <t>8/28/2025</t>
  </si>
  <si>
    <t>CUST051</t>
  </si>
  <si>
    <t>3/24/2025</t>
  </si>
  <si>
    <t>CUST052</t>
  </si>
  <si>
    <t>Jacket</t>
  </si>
  <si>
    <t>12/21/2024</t>
  </si>
  <si>
    <t>CUST053</t>
  </si>
  <si>
    <t>11/22/2025</t>
  </si>
  <si>
    <t>CUST054</t>
  </si>
  <si>
    <t>CUST055</t>
  </si>
  <si>
    <t>CUST056</t>
  </si>
  <si>
    <t>10/14/2025</t>
  </si>
  <si>
    <t>CUST057</t>
  </si>
  <si>
    <t>9/15/2025</t>
  </si>
  <si>
    <t>CUST058</t>
  </si>
  <si>
    <t>CUST059</t>
  </si>
  <si>
    <t>CUST060</t>
  </si>
  <si>
    <t>4/21/2025</t>
  </si>
  <si>
    <t>CUST061</t>
  </si>
  <si>
    <t>CUST062</t>
  </si>
  <si>
    <t>3/28/2025</t>
  </si>
  <si>
    <t>CUST063</t>
  </si>
  <si>
    <t>6/24/2025</t>
  </si>
  <si>
    <t>CUST064</t>
  </si>
  <si>
    <t>CUST065</t>
  </si>
  <si>
    <t>2/16/2025</t>
  </si>
  <si>
    <t>CUST066</t>
  </si>
  <si>
    <t>CUST067</t>
  </si>
  <si>
    <t>4/26/2025</t>
  </si>
  <si>
    <t>CUST068</t>
  </si>
  <si>
    <t>CUST069</t>
  </si>
  <si>
    <t>12/18/2024</t>
  </si>
  <si>
    <t>CUST070</t>
  </si>
  <si>
    <t>CUST071</t>
  </si>
  <si>
    <t>6/22/2025</t>
  </si>
  <si>
    <t>CUST072</t>
  </si>
  <si>
    <t>7/24/2025</t>
  </si>
  <si>
    <t>CUST073</t>
  </si>
  <si>
    <t>CUST074</t>
  </si>
  <si>
    <t>CUST075</t>
  </si>
  <si>
    <t>3/20/2025</t>
  </si>
  <si>
    <t>CUST076</t>
  </si>
  <si>
    <t>1/20/2025</t>
  </si>
  <si>
    <t>CUST077</t>
  </si>
  <si>
    <t>1/27/2025</t>
  </si>
  <si>
    <t>CUST078</t>
  </si>
  <si>
    <t>2/18/2025</t>
  </si>
  <si>
    <t>CUST079</t>
  </si>
  <si>
    <t>CUST080</t>
  </si>
  <si>
    <t>CUST081</t>
  </si>
  <si>
    <t>8/17/2025</t>
  </si>
  <si>
    <t>CUST082</t>
  </si>
  <si>
    <t>CUST083</t>
  </si>
  <si>
    <t>5/19/2025</t>
  </si>
  <si>
    <t>CUST084</t>
  </si>
  <si>
    <t>7/26/2025</t>
  </si>
  <si>
    <t>CUST085</t>
  </si>
  <si>
    <t>10/27/2025</t>
  </si>
  <si>
    <t>CUST086</t>
  </si>
  <si>
    <t>11/13/2025</t>
  </si>
  <si>
    <t>CUST087</t>
  </si>
  <si>
    <t>CUST088</t>
  </si>
  <si>
    <t>CUST089</t>
  </si>
  <si>
    <t>CUST090</t>
  </si>
  <si>
    <t>CUST091</t>
  </si>
  <si>
    <t>CUST092</t>
  </si>
  <si>
    <t>5/20/2025</t>
  </si>
  <si>
    <t>CUST093</t>
  </si>
  <si>
    <t>CUST094</t>
  </si>
  <si>
    <t>3/27/2025</t>
  </si>
  <si>
    <t>CUST095</t>
  </si>
  <si>
    <t>7/18/2025</t>
  </si>
  <si>
    <t>CUST096</t>
  </si>
  <si>
    <t>4/23/2025</t>
  </si>
  <si>
    <t>CUST097</t>
  </si>
  <si>
    <t>CUST098</t>
  </si>
  <si>
    <t>CUST099</t>
  </si>
  <si>
    <t>7/21/2025</t>
  </si>
  <si>
    <t>CUST100</t>
  </si>
  <si>
    <t>Year</t>
  </si>
  <si>
    <t>Month</t>
  </si>
  <si>
    <t>Month Name</t>
  </si>
  <si>
    <t>Quarter</t>
  </si>
  <si>
    <t>Week of Month</t>
  </si>
  <si>
    <t>Day of Week</t>
  </si>
  <si>
    <t>Day Name</t>
  </si>
  <si>
    <t>October</t>
  </si>
  <si>
    <t>Thursday</t>
  </si>
  <si>
    <t>August</t>
  </si>
  <si>
    <t>Friday</t>
  </si>
  <si>
    <t>Monday</t>
  </si>
  <si>
    <t>May</t>
  </si>
  <si>
    <t>March</t>
  </si>
  <si>
    <t>Sunday</t>
  </si>
  <si>
    <t>January</t>
  </si>
  <si>
    <t>Saturday</t>
  </si>
  <si>
    <t>June</t>
  </si>
  <si>
    <t>November</t>
  </si>
  <si>
    <t>Wednesday</t>
  </si>
  <si>
    <t>April</t>
  </si>
  <si>
    <t>July</t>
  </si>
  <si>
    <t>Tuesday</t>
  </si>
  <si>
    <t>September</t>
  </si>
  <si>
    <t>December</t>
  </si>
  <si>
    <t>February</t>
  </si>
  <si>
    <t>Sum of Total_Sales_Value</t>
  </si>
  <si>
    <t>Sum of Quantity</t>
  </si>
  <si>
    <t>Sum of Profit</t>
  </si>
  <si>
    <t>Count of Customer_ID</t>
  </si>
  <si>
    <t>Average of Discount</t>
  </si>
  <si>
    <t>Profit_%</t>
  </si>
  <si>
    <t>Row Labels</t>
  </si>
  <si>
    <t>Grand Total</t>
  </si>
  <si>
    <t>#_Quantity</t>
  </si>
  <si>
    <t>#_Sales</t>
  </si>
  <si>
    <t>Column Labels</t>
  </si>
  <si>
    <t/>
  </si>
  <si>
    <t>Location</t>
  </si>
  <si>
    <t>Product name</t>
  </si>
  <si>
    <t>#_Profit</t>
  </si>
  <si>
    <t>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</si>
</sst>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K"/>
    <numFmt numFmtId="165" formatCode="0.00\ %"/>
    <numFmt numFmtId="166" formatCode="#,###.00,\K"/>
  </numFmts>
  <fonts count="4" x14ac:knownFonts="1">
    <font>
      <sz val="11"/>
      <color theme="1"/>
      <name val="Calibri"/>
      <family val="2"/>
      <scheme val="minor"/>
    </font>
    <font>
      <sz val="11"/>
      <color theme="1"/>
      <name val="Calibri"/>
      <family val="2"/>
      <scheme val="minor"/>
    </font>
    <font>
      <sz val="11"/>
      <color rgb="FF000000"/>
      <name val="Aptos Narrow"/>
      <family val="2"/>
    </font>
    <font>
      <i/>
      <sz val="14"/>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0" borderId="0" xfId="0" applyFont="1"/>
    <xf numFmtId="14" fontId="0" fillId="0" borderId="0" xfId="0" applyNumberFormat="1"/>
    <xf numFmtId="14" fontId="2" fillId="0" borderId="0" xfId="0" applyNumberFormat="1" applyFont="1"/>
    <xf numFmtId="164" fontId="0" fillId="0" borderId="0" xfId="0" applyNumberFormat="1"/>
    <xf numFmtId="165" fontId="0" fillId="0" borderId="0" xfId="0" applyNumberFormat="1"/>
    <xf numFmtId="10" fontId="0" fillId="0" borderId="0" xfId="1" applyNumberFormat="1" applyFont="1"/>
    <xf numFmtId="0" fontId="0" fillId="0" borderId="0" xfId="0" pivotButton="1"/>
    <xf numFmtId="0" fontId="0" fillId="0" borderId="0" xfId="0" applyAlignment="1">
      <alignment horizontal="left"/>
    </xf>
    <xf numFmtId="10" fontId="0" fillId="0" borderId="0" xfId="0" applyNumberFormat="1"/>
    <xf numFmtId="166" fontId="0" fillId="0" borderId="0" xfId="0" applyNumberFormat="1"/>
    <xf numFmtId="10" fontId="0" fillId="0" borderId="0" xfId="1" applyNumberFormat="1" applyFont="1" applyAlignment="1">
      <alignment horizontal="center" vertical="center"/>
    </xf>
    <xf numFmtId="0" fontId="0" fillId="0" borderId="0" xfId="0" applyAlignment="1">
      <alignment horizontal="center"/>
    </xf>
    <xf numFmtId="0" fontId="0" fillId="0" borderId="0" xfId="0" applyAlignment="1">
      <alignment horizontal="center" vertical="center"/>
    </xf>
  </cellXfs>
  <cellStyles count="2">
    <cellStyle name="Normal" xfId="0" builtinId="0"/>
    <cellStyle name="Percent" xfId="1" builtinId="5"/>
  </cellStyles>
  <dxfs count="29">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424874"/>
      <color rgb="FFF9F7F7"/>
      <color rgb="FF00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Sales Performance Analytics Excel Dashboard.xlsm]Analysis Page!Time_Trend_Chart</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i="1" baseline="0"/>
              <a:t>Sales &amp; QtySold_Trend_Over_Time</a:t>
            </a:r>
          </a:p>
        </c:rich>
      </c:tx>
      <c:layout>
        <c:manualLayout>
          <c:xMode val="edge"/>
          <c:yMode val="edge"/>
          <c:x val="0.25268632257050311"/>
          <c:y val="7.93004639756055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2487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2487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424874"/>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605284474102995E-2"/>
          <c:y val="0.20690323861707632"/>
          <c:w val="0.70562959415999249"/>
          <c:h val="0.57909628684042558"/>
        </c:manualLayout>
      </c:layout>
      <c:barChart>
        <c:barDir val="col"/>
        <c:grouping val="clustered"/>
        <c:varyColors val="0"/>
        <c:ser>
          <c:idx val="0"/>
          <c:order val="0"/>
          <c:tx>
            <c:strRef>
              <c:f>'Analysis Page'!$K$3</c:f>
              <c:strCache>
                <c:ptCount val="1"/>
                <c:pt idx="0">
                  <c:v>#_Sales</c:v>
                </c:pt>
              </c:strCache>
            </c:strRef>
          </c:tx>
          <c:spPr>
            <a:solidFill>
              <a:srgbClr val="424874"/>
            </a:solidFill>
            <a:ln>
              <a:solidFill>
                <a:srgbClr val="00B0F0"/>
              </a:solidFill>
            </a:ln>
            <a:effectLst/>
          </c:spPr>
          <c:invertIfNegative val="0"/>
          <c:cat>
            <c:strRef>
              <c:f>'Analysis Page'!$J$4:$J$15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 Page'!$K$4:$K$15</c:f>
              <c:numCache>
                <c:formatCode>General</c:formatCode>
                <c:ptCount val="12"/>
                <c:pt idx="0">
                  <c:v>7647.6299999999992</c:v>
                </c:pt>
                <c:pt idx="1">
                  <c:v>1964.08</c:v>
                </c:pt>
                <c:pt idx="2">
                  <c:v>13679.710000000001</c:v>
                </c:pt>
                <c:pt idx="3">
                  <c:v>4987.7299999999996</c:v>
                </c:pt>
                <c:pt idx="4">
                  <c:v>6994.15</c:v>
                </c:pt>
                <c:pt idx="5">
                  <c:v>8701.15</c:v>
                </c:pt>
                <c:pt idx="6">
                  <c:v>15810.800000000001</c:v>
                </c:pt>
                <c:pt idx="7">
                  <c:v>5242.28</c:v>
                </c:pt>
                <c:pt idx="8">
                  <c:v>7378.1899999999987</c:v>
                </c:pt>
                <c:pt idx="9">
                  <c:v>13800.58</c:v>
                </c:pt>
                <c:pt idx="10">
                  <c:v>12354.599999999999</c:v>
                </c:pt>
                <c:pt idx="11">
                  <c:v>2066.8199999999997</c:v>
                </c:pt>
              </c:numCache>
            </c:numRef>
          </c:val>
          <c:extLst>
            <c:ext xmlns:c16="http://schemas.microsoft.com/office/drawing/2014/chart" uri="{C3380CC4-5D6E-409C-BE32-E72D297353CC}">
              <c16:uniqueId val="{00000001-ACFA-415F-96F7-E5E2596900D1}"/>
            </c:ext>
          </c:extLst>
        </c:ser>
        <c:dLbls>
          <c:showLegendKey val="0"/>
          <c:showVal val="0"/>
          <c:showCatName val="0"/>
          <c:showSerName val="0"/>
          <c:showPercent val="0"/>
          <c:showBubbleSize val="0"/>
        </c:dLbls>
        <c:gapWidth val="150"/>
        <c:axId val="1446559360"/>
        <c:axId val="1446561280"/>
      </c:barChart>
      <c:lineChart>
        <c:grouping val="standard"/>
        <c:varyColors val="0"/>
        <c:ser>
          <c:idx val="1"/>
          <c:order val="1"/>
          <c:tx>
            <c:strRef>
              <c:f>'Analysis Page'!$L$3</c:f>
              <c:strCache>
                <c:ptCount val="1"/>
                <c:pt idx="0">
                  <c:v>#_Quantity</c:v>
                </c:pt>
              </c:strCache>
            </c:strRef>
          </c:tx>
          <c:spPr>
            <a:ln w="28575" cap="rnd">
              <a:solidFill>
                <a:srgbClr val="00B0F0"/>
              </a:solidFill>
              <a:round/>
            </a:ln>
            <a:effectLst/>
          </c:spPr>
          <c:marker>
            <c:symbol val="none"/>
          </c:marker>
          <c:cat>
            <c:strRef>
              <c:f>'Analysis Page'!$J$4:$J$15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 Page'!$L$4:$L$15</c:f>
              <c:numCache>
                <c:formatCode>General</c:formatCode>
                <c:ptCount val="12"/>
                <c:pt idx="0">
                  <c:v>46</c:v>
                </c:pt>
                <c:pt idx="1">
                  <c:v>13</c:v>
                </c:pt>
                <c:pt idx="2">
                  <c:v>82</c:v>
                </c:pt>
                <c:pt idx="3">
                  <c:v>23</c:v>
                </c:pt>
                <c:pt idx="4">
                  <c:v>37</c:v>
                </c:pt>
                <c:pt idx="5">
                  <c:v>46</c:v>
                </c:pt>
                <c:pt idx="6">
                  <c:v>67</c:v>
                </c:pt>
                <c:pt idx="7">
                  <c:v>29</c:v>
                </c:pt>
                <c:pt idx="8">
                  <c:v>30</c:v>
                </c:pt>
                <c:pt idx="9">
                  <c:v>47</c:v>
                </c:pt>
                <c:pt idx="10">
                  <c:v>50</c:v>
                </c:pt>
                <c:pt idx="11">
                  <c:v>8</c:v>
                </c:pt>
              </c:numCache>
            </c:numRef>
          </c:val>
          <c:smooth val="0"/>
          <c:extLst>
            <c:ext xmlns:c16="http://schemas.microsoft.com/office/drawing/2014/chart" uri="{C3380CC4-5D6E-409C-BE32-E72D297353CC}">
              <c16:uniqueId val="{00000000-ACFA-415F-96F7-E5E2596900D1}"/>
            </c:ext>
          </c:extLst>
        </c:ser>
        <c:dLbls>
          <c:showLegendKey val="0"/>
          <c:showVal val="0"/>
          <c:showCatName val="0"/>
          <c:showSerName val="0"/>
          <c:showPercent val="0"/>
          <c:showBubbleSize val="0"/>
        </c:dLbls>
        <c:marker val="1"/>
        <c:smooth val="0"/>
        <c:axId val="1446563680"/>
        <c:axId val="1446563200"/>
      </c:lineChart>
      <c:catAx>
        <c:axId val="1446559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6561280"/>
        <c:crosses val="autoZero"/>
        <c:auto val="1"/>
        <c:lblAlgn val="ctr"/>
        <c:lblOffset val="100"/>
        <c:noMultiLvlLbl val="0"/>
      </c:catAx>
      <c:valAx>
        <c:axId val="1446561280"/>
        <c:scaling>
          <c:orientation val="minMax"/>
        </c:scaling>
        <c:delete val="0"/>
        <c:axPos val="l"/>
        <c:numFmt formatCode="#,###.00,\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6559360"/>
        <c:crosses val="autoZero"/>
        <c:crossBetween val="between"/>
      </c:valAx>
      <c:valAx>
        <c:axId val="144656320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6563680"/>
        <c:crosses val="max"/>
        <c:crossBetween val="between"/>
      </c:valAx>
      <c:catAx>
        <c:axId val="1446563680"/>
        <c:scaling>
          <c:orientation val="minMax"/>
        </c:scaling>
        <c:delete val="1"/>
        <c:axPos val="b"/>
        <c:numFmt formatCode="General" sourceLinked="1"/>
        <c:majorTickMark val="out"/>
        <c:minorTickMark val="none"/>
        <c:tickLblPos val="nextTo"/>
        <c:crossAx val="1446563200"/>
        <c:crosses val="autoZero"/>
        <c:auto val="1"/>
        <c:lblAlgn val="ctr"/>
        <c:lblOffset val="100"/>
        <c:noMultiLvlLbl val="0"/>
      </c:catAx>
      <c:spPr>
        <a:noFill/>
        <a:ln>
          <a:noFill/>
        </a:ln>
        <a:effectLst/>
      </c:spPr>
    </c:plotArea>
    <c:legend>
      <c:legendPos val="r"/>
      <c:layout>
        <c:manualLayout>
          <c:xMode val="edge"/>
          <c:yMode val="edge"/>
          <c:x val="0.83750202668415397"/>
          <c:y val="5.7800998303055282E-2"/>
          <c:w val="0.14628137578391154"/>
          <c:h val="0.246988145340058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Sales Performance Analytics Excel Dashboard.xlsm]Analysis Page!Cat_Vs_Gender</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i="1"/>
              <a:t>Category</a:t>
            </a:r>
            <a:r>
              <a:rPr lang="en-IN" i="1" baseline="0"/>
              <a:t>_wise_#_Sales</a:t>
            </a:r>
            <a:endParaRPr lang="en-IN"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424874"/>
          </a:solidFill>
          <a:ln>
            <a:noFill/>
          </a:ln>
          <a:effectLst/>
        </c:spPr>
      </c:pivotFmt>
      <c:pivotFmt>
        <c:idx val="3"/>
        <c:spPr>
          <a:solidFill>
            <a:srgbClr val="42487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2">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424874"/>
          </a:solidFill>
          <a:ln>
            <a:noFill/>
          </a:ln>
          <a:effectLst/>
        </c:spPr>
        <c:marker>
          <c:symbol val="none"/>
        </c:marker>
        <c:dLbl>
          <c:idx val="0"/>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lumMod val="60000"/>
              <a:lumOff val="40000"/>
            </a:schemeClr>
          </a:solidFill>
          <a:ln>
            <a:noFill/>
          </a:ln>
          <a:effectLst/>
        </c:spPr>
        <c:marker>
          <c:symbol val="none"/>
        </c:marker>
        <c:dLbl>
          <c:idx val="0"/>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37335958005247"/>
          <c:y val="0.13930555555555557"/>
          <c:w val="0.73986408072297272"/>
          <c:h val="0.76604380644004133"/>
        </c:manualLayout>
      </c:layout>
      <c:barChart>
        <c:barDir val="bar"/>
        <c:grouping val="stacked"/>
        <c:varyColors val="0"/>
        <c:ser>
          <c:idx val="0"/>
          <c:order val="0"/>
          <c:tx>
            <c:strRef>
              <c:f>'Analysis Page'!$C$52:$C$53</c:f>
              <c:strCache>
                <c:ptCount val="1"/>
                <c:pt idx="0">
                  <c:v>Female</c:v>
                </c:pt>
              </c:strCache>
            </c:strRef>
          </c:tx>
          <c:spPr>
            <a:solidFill>
              <a:srgbClr val="424874"/>
            </a:solidFill>
            <a:ln>
              <a:noFill/>
            </a:ln>
            <a:effectLst/>
          </c:spPr>
          <c:invertIfNegative val="0"/>
          <c:dLbls>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Page'!$B$54:$B$58</c:f>
              <c:strCache>
                <c:ptCount val="4"/>
                <c:pt idx="0">
                  <c:v>Books</c:v>
                </c:pt>
                <c:pt idx="1">
                  <c:v>Clothing</c:v>
                </c:pt>
                <c:pt idx="2">
                  <c:v>Electronics</c:v>
                </c:pt>
                <c:pt idx="3">
                  <c:v>Furniture</c:v>
                </c:pt>
              </c:strCache>
            </c:strRef>
          </c:cat>
          <c:val>
            <c:numRef>
              <c:f>'Analysis Page'!$C$54:$C$58</c:f>
              <c:numCache>
                <c:formatCode>General</c:formatCode>
                <c:ptCount val="4"/>
                <c:pt idx="0">
                  <c:v>11848.32</c:v>
                </c:pt>
                <c:pt idx="1">
                  <c:v>12263.420000000002</c:v>
                </c:pt>
                <c:pt idx="2">
                  <c:v>11162.19</c:v>
                </c:pt>
                <c:pt idx="3">
                  <c:v>9725.4300000000021</c:v>
                </c:pt>
              </c:numCache>
            </c:numRef>
          </c:val>
          <c:extLst>
            <c:ext xmlns:c16="http://schemas.microsoft.com/office/drawing/2014/chart" uri="{C3380CC4-5D6E-409C-BE32-E72D297353CC}">
              <c16:uniqueId val="{00000000-DE18-4425-A72F-7E907AAFA204}"/>
            </c:ext>
          </c:extLst>
        </c:ser>
        <c:ser>
          <c:idx val="1"/>
          <c:order val="1"/>
          <c:tx>
            <c:strRef>
              <c:f>'Analysis Page'!$D$52:$D$53</c:f>
              <c:strCache>
                <c:ptCount val="1"/>
                <c:pt idx="0">
                  <c:v>Male</c:v>
                </c:pt>
              </c:strCache>
            </c:strRef>
          </c:tx>
          <c:spPr>
            <a:solidFill>
              <a:schemeClr val="accent2">
                <a:lumMod val="60000"/>
                <a:lumOff val="40000"/>
              </a:schemeClr>
            </a:solidFill>
            <a:ln>
              <a:noFill/>
            </a:ln>
            <a:effectLst/>
          </c:spPr>
          <c:invertIfNegative val="0"/>
          <c:dLbls>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Page'!$B$54:$B$58</c:f>
              <c:strCache>
                <c:ptCount val="4"/>
                <c:pt idx="0">
                  <c:v>Books</c:v>
                </c:pt>
                <c:pt idx="1">
                  <c:v>Clothing</c:v>
                </c:pt>
                <c:pt idx="2">
                  <c:v>Electronics</c:v>
                </c:pt>
                <c:pt idx="3">
                  <c:v>Furniture</c:v>
                </c:pt>
              </c:strCache>
            </c:strRef>
          </c:cat>
          <c:val>
            <c:numRef>
              <c:f>'Analysis Page'!$D$54:$D$58</c:f>
              <c:numCache>
                <c:formatCode>General</c:formatCode>
                <c:ptCount val="4"/>
                <c:pt idx="0">
                  <c:v>13882.800000000001</c:v>
                </c:pt>
                <c:pt idx="1">
                  <c:v>15306.529999999999</c:v>
                </c:pt>
                <c:pt idx="2">
                  <c:v>9497.2800000000007</c:v>
                </c:pt>
                <c:pt idx="3">
                  <c:v>16941.750000000004</c:v>
                </c:pt>
              </c:numCache>
            </c:numRef>
          </c:val>
          <c:extLst>
            <c:ext xmlns:c16="http://schemas.microsoft.com/office/drawing/2014/chart" uri="{C3380CC4-5D6E-409C-BE32-E72D297353CC}">
              <c16:uniqueId val="{00000001-DE18-4425-A72F-7E907AAFA204}"/>
            </c:ext>
          </c:extLst>
        </c:ser>
        <c:dLbls>
          <c:dLblPos val="ctr"/>
          <c:showLegendKey val="0"/>
          <c:showVal val="1"/>
          <c:showCatName val="0"/>
          <c:showSerName val="0"/>
          <c:showPercent val="0"/>
          <c:showBubbleSize val="0"/>
        </c:dLbls>
        <c:gapWidth val="182"/>
        <c:overlap val="100"/>
        <c:axId val="872841104"/>
        <c:axId val="872841584"/>
      </c:barChart>
      <c:catAx>
        <c:axId val="872841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872841584"/>
        <c:crosses val="autoZero"/>
        <c:auto val="1"/>
        <c:lblAlgn val="ctr"/>
        <c:lblOffset val="100"/>
        <c:noMultiLvlLbl val="0"/>
      </c:catAx>
      <c:valAx>
        <c:axId val="872841584"/>
        <c:scaling>
          <c:orientation val="minMax"/>
        </c:scaling>
        <c:delete val="1"/>
        <c:axPos val="b"/>
        <c:numFmt formatCode="General" sourceLinked="1"/>
        <c:majorTickMark val="none"/>
        <c:minorTickMark val="none"/>
        <c:tickLblPos val="nextTo"/>
        <c:crossAx val="872841104"/>
        <c:crosses val="autoZero"/>
        <c:crossBetween val="between"/>
      </c:valAx>
      <c:spPr>
        <a:noFill/>
        <a:ln w="25400">
          <a:noFill/>
        </a:ln>
        <a:effectLst/>
      </c:spPr>
    </c:plotArea>
    <c:legend>
      <c:legendPos val="r"/>
      <c:layout>
        <c:manualLayout>
          <c:xMode val="edge"/>
          <c:yMode val="edge"/>
          <c:x val="0.80884228120348312"/>
          <c:y val="3.2812641106250977E-2"/>
          <c:w val="0.18247452642087844"/>
          <c:h val="0.152929809588779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Sales Performance Analytics Excel Dashboard.xlsm]Analysis Page!Age_Group_Chart</c:name>
    <c:fmtId val="4"/>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200" i="1"/>
              <a:t>Age</a:t>
            </a:r>
            <a:r>
              <a:rPr lang="en-US" sz="1200" i="1" baseline="0"/>
              <a:t>_Group_wise_</a:t>
            </a:r>
            <a:r>
              <a:rPr lang="en-US" sz="1400" b="1" i="1" baseline="0">
                <a:solidFill>
                  <a:schemeClr val="tx1"/>
                </a:solidFill>
              </a:rPr>
              <a:t>Sales</a:t>
            </a:r>
            <a:r>
              <a:rPr lang="en-US" sz="1200" i="1" baseline="0"/>
              <a:t>_Distribution</a:t>
            </a:r>
            <a:endParaRPr lang="en-US" sz="1200" i="1"/>
          </a:p>
          <a:p>
            <a:pPr algn="ctr">
              <a:defRPr/>
            </a:pPr>
            <a:endParaRPr lang="en-US" sz="1200"/>
          </a:p>
        </c:rich>
      </c:tx>
      <c:layout>
        <c:manualLayout>
          <c:xMode val="edge"/>
          <c:yMode val="edge"/>
          <c:x val="2.5090464723665347E-4"/>
          <c:y val="1.9949490090247879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42487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2487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2487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a:noFill/>
          </a:ln>
          <a:effectLst/>
        </c:spPr>
        <c:marker>
          <c:symbol val="none"/>
        </c:marker>
      </c:pivotFmt>
      <c:pivotFmt>
        <c:idx val="4"/>
        <c:spPr>
          <a:solidFill>
            <a:srgbClr val="424874"/>
          </a:solidFill>
          <a:ln>
            <a:noFill/>
          </a:ln>
          <a:effectLst/>
        </c:spPr>
      </c:pivotFmt>
      <c:pivotFmt>
        <c:idx val="5"/>
        <c:spPr>
          <a:solidFill>
            <a:srgbClr val="424874"/>
          </a:solidFill>
          <a:ln>
            <a:noFill/>
          </a:ln>
          <a:effectLst/>
        </c:spPr>
        <c:marker>
          <c:symbol val="none"/>
        </c:marker>
      </c:pivotFmt>
    </c:pivotFmts>
    <c:plotArea>
      <c:layout>
        <c:manualLayout>
          <c:layoutTarget val="inner"/>
          <c:xMode val="edge"/>
          <c:yMode val="edge"/>
          <c:x val="2.8566731229796756E-2"/>
          <c:y val="0.24402877630546099"/>
          <c:w val="0.72991454110010334"/>
          <c:h val="0.64114272707643305"/>
        </c:manualLayout>
      </c:layout>
      <c:barChart>
        <c:barDir val="col"/>
        <c:grouping val="stacked"/>
        <c:varyColors val="0"/>
        <c:ser>
          <c:idx val="0"/>
          <c:order val="0"/>
          <c:tx>
            <c:strRef>
              <c:f>'Analysis Page'!$T$32:$T$33</c:f>
              <c:strCache>
                <c:ptCount val="1"/>
                <c:pt idx="0">
                  <c:v>Female</c:v>
                </c:pt>
              </c:strCache>
            </c:strRef>
          </c:tx>
          <c:spPr>
            <a:solidFill>
              <a:srgbClr val="424874"/>
            </a:solidFill>
            <a:ln>
              <a:noFill/>
            </a:ln>
            <a:effectLst/>
          </c:spPr>
          <c:invertIfNegative val="0"/>
          <c:cat>
            <c:strRef>
              <c:f>'Analysis Page'!$S$34:$S$38</c:f>
              <c:strCache>
                <c:ptCount val="4"/>
                <c:pt idx="0">
                  <c:v>18-25</c:v>
                </c:pt>
                <c:pt idx="1">
                  <c:v>26-35</c:v>
                </c:pt>
                <c:pt idx="2">
                  <c:v>36-45</c:v>
                </c:pt>
                <c:pt idx="3">
                  <c:v>46-60</c:v>
                </c:pt>
              </c:strCache>
            </c:strRef>
          </c:cat>
          <c:val>
            <c:numRef>
              <c:f>'Analysis Page'!$T$34:$T$38</c:f>
              <c:numCache>
                <c:formatCode>#,###.00,\K</c:formatCode>
                <c:ptCount val="4"/>
                <c:pt idx="0">
                  <c:v>10274.650000000001</c:v>
                </c:pt>
                <c:pt idx="1">
                  <c:v>8924.52</c:v>
                </c:pt>
                <c:pt idx="2">
                  <c:v>11840.96</c:v>
                </c:pt>
                <c:pt idx="3">
                  <c:v>13959.230000000001</c:v>
                </c:pt>
              </c:numCache>
            </c:numRef>
          </c:val>
          <c:extLst>
            <c:ext xmlns:c16="http://schemas.microsoft.com/office/drawing/2014/chart" uri="{C3380CC4-5D6E-409C-BE32-E72D297353CC}">
              <c16:uniqueId val="{00000000-32F5-47BB-8823-F7EB8FDD514E}"/>
            </c:ext>
          </c:extLst>
        </c:ser>
        <c:ser>
          <c:idx val="1"/>
          <c:order val="1"/>
          <c:tx>
            <c:strRef>
              <c:f>'Analysis Page'!$U$32:$U$33</c:f>
              <c:strCache>
                <c:ptCount val="1"/>
                <c:pt idx="0">
                  <c:v>Male</c:v>
                </c:pt>
              </c:strCache>
            </c:strRef>
          </c:tx>
          <c:spPr>
            <a:solidFill>
              <a:schemeClr val="accent2">
                <a:lumMod val="60000"/>
                <a:lumOff val="40000"/>
              </a:schemeClr>
            </a:solidFill>
            <a:ln>
              <a:noFill/>
            </a:ln>
            <a:effectLst/>
          </c:spPr>
          <c:invertIfNegative val="0"/>
          <c:cat>
            <c:strRef>
              <c:f>'Analysis Page'!$S$34:$S$38</c:f>
              <c:strCache>
                <c:ptCount val="4"/>
                <c:pt idx="0">
                  <c:v>18-25</c:v>
                </c:pt>
                <c:pt idx="1">
                  <c:v>26-35</c:v>
                </c:pt>
                <c:pt idx="2">
                  <c:v>36-45</c:v>
                </c:pt>
                <c:pt idx="3">
                  <c:v>46-60</c:v>
                </c:pt>
              </c:strCache>
            </c:strRef>
          </c:cat>
          <c:val>
            <c:numRef>
              <c:f>'Analysis Page'!$U$34:$U$38</c:f>
              <c:numCache>
                <c:formatCode>#,###.00,\K</c:formatCode>
                <c:ptCount val="4"/>
                <c:pt idx="0">
                  <c:v>16530.010000000002</c:v>
                </c:pt>
                <c:pt idx="1">
                  <c:v>20004.250000000004</c:v>
                </c:pt>
                <c:pt idx="2">
                  <c:v>8482.2599999999984</c:v>
                </c:pt>
                <c:pt idx="3">
                  <c:v>10611.840000000002</c:v>
                </c:pt>
              </c:numCache>
            </c:numRef>
          </c:val>
          <c:extLst>
            <c:ext xmlns:c16="http://schemas.microsoft.com/office/drawing/2014/chart" uri="{C3380CC4-5D6E-409C-BE32-E72D297353CC}">
              <c16:uniqueId val="{00000000-FCAD-454D-9486-7944595D4EFB}"/>
            </c:ext>
          </c:extLst>
        </c:ser>
        <c:dLbls>
          <c:showLegendKey val="0"/>
          <c:showVal val="0"/>
          <c:showCatName val="0"/>
          <c:showSerName val="0"/>
          <c:showPercent val="0"/>
          <c:showBubbleSize val="0"/>
        </c:dLbls>
        <c:gapWidth val="352"/>
        <c:overlap val="100"/>
        <c:axId val="872829104"/>
        <c:axId val="872830544"/>
      </c:barChart>
      <c:catAx>
        <c:axId val="872829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72830544"/>
        <c:crosses val="autoZero"/>
        <c:auto val="1"/>
        <c:lblAlgn val="ctr"/>
        <c:lblOffset val="100"/>
        <c:noMultiLvlLbl val="0"/>
      </c:catAx>
      <c:valAx>
        <c:axId val="872830544"/>
        <c:scaling>
          <c:orientation val="minMax"/>
        </c:scaling>
        <c:delete val="1"/>
        <c:axPos val="l"/>
        <c:numFmt formatCode="#,###.00,\K" sourceLinked="1"/>
        <c:majorTickMark val="none"/>
        <c:minorTickMark val="none"/>
        <c:tickLblPos val="nextTo"/>
        <c:crossAx val="872829104"/>
        <c:crosses val="autoZero"/>
        <c:crossBetween val="between"/>
      </c:valAx>
      <c:spPr>
        <a:noFill/>
        <a:ln>
          <a:noFill/>
        </a:ln>
        <a:effectLst/>
      </c:spPr>
    </c:plotArea>
    <c:legend>
      <c:legendPos val="r"/>
      <c:layout>
        <c:manualLayout>
          <c:xMode val="edge"/>
          <c:yMode val="edge"/>
          <c:x val="0.86803623872176316"/>
          <c:y val="0.74667342552127192"/>
          <c:w val="0.10892298797908631"/>
          <c:h val="0.168956123549865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Sales Performance Analytics Excel Dashboard.xlsm]Analysis Page!Product_Level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i="1"/>
              <a:t>Product</a:t>
            </a:r>
            <a:r>
              <a:rPr lang="en-US" sz="1200" i="1" baseline="0"/>
              <a:t>_Wise_#_Sales</a:t>
            </a:r>
            <a:endParaRPr lang="en-US" sz="1200" i="1"/>
          </a:p>
        </c:rich>
      </c:tx>
      <c:layout>
        <c:manualLayout>
          <c:xMode val="edge"/>
          <c:yMode val="edge"/>
          <c:x val="0.27492709006741178"/>
          <c:y val="4.33632768607098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675061788959263E-2"/>
          <c:y val="0.14590858015532557"/>
          <c:w val="0.67080234279901563"/>
          <c:h val="0.83346920983494543"/>
        </c:manualLayout>
      </c:layout>
      <c:barChart>
        <c:barDir val="bar"/>
        <c:grouping val="clustered"/>
        <c:varyColors val="0"/>
        <c:ser>
          <c:idx val="0"/>
          <c:order val="0"/>
          <c:tx>
            <c:strRef>
              <c:f>'Analysis Page'!$T$51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Page'!$S$52:$S$68</c:f>
              <c:strCache>
                <c:ptCount val="16"/>
                <c:pt idx="0">
                  <c:v>Bed</c:v>
                </c:pt>
                <c:pt idx="1">
                  <c:v>Chair</c:v>
                </c:pt>
                <c:pt idx="2">
                  <c:v>Comics</c:v>
                </c:pt>
                <c:pt idx="3">
                  <c:v>Dress</c:v>
                </c:pt>
                <c:pt idx="4">
                  <c:v>Headphones</c:v>
                </c:pt>
                <c:pt idx="5">
                  <c:v>Jacket</c:v>
                </c:pt>
                <c:pt idx="6">
                  <c:v>Jeans</c:v>
                </c:pt>
                <c:pt idx="7">
                  <c:v>Laptop</c:v>
                </c:pt>
                <c:pt idx="8">
                  <c:v>Magazine</c:v>
                </c:pt>
                <c:pt idx="9">
                  <c:v>Novel</c:v>
                </c:pt>
                <c:pt idx="10">
                  <c:v>Shirt</c:v>
                </c:pt>
                <c:pt idx="11">
                  <c:v>Smartphone</c:v>
                </c:pt>
                <c:pt idx="12">
                  <c:v>Sofa</c:v>
                </c:pt>
                <c:pt idx="13">
                  <c:v>Table</c:v>
                </c:pt>
                <c:pt idx="14">
                  <c:v>Tablet</c:v>
                </c:pt>
                <c:pt idx="15">
                  <c:v>Textbook</c:v>
                </c:pt>
              </c:strCache>
            </c:strRef>
          </c:cat>
          <c:val>
            <c:numRef>
              <c:f>'Analysis Page'!$T$52:$T$68</c:f>
              <c:numCache>
                <c:formatCode>#,###.00,\K</c:formatCode>
                <c:ptCount val="16"/>
                <c:pt idx="0">
                  <c:v>8440.65</c:v>
                </c:pt>
                <c:pt idx="1">
                  <c:v>7074.3499999999995</c:v>
                </c:pt>
                <c:pt idx="2">
                  <c:v>12239.73</c:v>
                </c:pt>
                <c:pt idx="3">
                  <c:v>9717.4500000000007</c:v>
                </c:pt>
                <c:pt idx="4">
                  <c:v>9821.99</c:v>
                </c:pt>
                <c:pt idx="5">
                  <c:v>4640.7199999999993</c:v>
                </c:pt>
                <c:pt idx="6">
                  <c:v>4180.7999999999993</c:v>
                </c:pt>
                <c:pt idx="7">
                  <c:v>3468.89</c:v>
                </c:pt>
                <c:pt idx="8">
                  <c:v>4011.38</c:v>
                </c:pt>
                <c:pt idx="9">
                  <c:v>4551.3599999999997</c:v>
                </c:pt>
                <c:pt idx="10">
                  <c:v>9030.98</c:v>
                </c:pt>
                <c:pt idx="11">
                  <c:v>5595.74</c:v>
                </c:pt>
                <c:pt idx="12">
                  <c:v>8455.1</c:v>
                </c:pt>
                <c:pt idx="13">
                  <c:v>2697.08</c:v>
                </c:pt>
                <c:pt idx="14">
                  <c:v>1772.85</c:v>
                </c:pt>
                <c:pt idx="15">
                  <c:v>4928.6499999999996</c:v>
                </c:pt>
              </c:numCache>
            </c:numRef>
          </c:val>
          <c:extLst>
            <c:ext xmlns:c16="http://schemas.microsoft.com/office/drawing/2014/chart" uri="{C3380CC4-5D6E-409C-BE32-E72D297353CC}">
              <c16:uniqueId val="{00000000-0083-4577-A307-885F61BA7E5F}"/>
            </c:ext>
          </c:extLst>
        </c:ser>
        <c:dLbls>
          <c:showLegendKey val="0"/>
          <c:showVal val="0"/>
          <c:showCatName val="0"/>
          <c:showSerName val="0"/>
          <c:showPercent val="0"/>
          <c:showBubbleSize val="0"/>
        </c:dLbls>
        <c:gapWidth val="299"/>
        <c:axId val="1705132352"/>
        <c:axId val="1705135712"/>
      </c:barChart>
      <c:catAx>
        <c:axId val="1705132352"/>
        <c:scaling>
          <c:orientation val="minMax"/>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05135712"/>
        <c:crosses val="autoZero"/>
        <c:auto val="1"/>
        <c:lblAlgn val="ctr"/>
        <c:lblOffset val="100"/>
        <c:noMultiLvlLbl val="0"/>
      </c:catAx>
      <c:valAx>
        <c:axId val="1705135712"/>
        <c:scaling>
          <c:orientation val="minMax"/>
        </c:scaling>
        <c:delete val="1"/>
        <c:axPos val="b"/>
        <c:numFmt formatCode="#,###.00,\K" sourceLinked="1"/>
        <c:majorTickMark val="none"/>
        <c:minorTickMark val="none"/>
        <c:tickLblPos val="nextTo"/>
        <c:crossAx val="170513235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Sales Performance Analytics Excel Dashboard.xlsm]Analysis Page!Stoer_Wise_Chart</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i="1"/>
              <a:t>Store_Loc</a:t>
            </a:r>
            <a:r>
              <a:rPr lang="en-US" i="1" baseline="0"/>
              <a:t>_Wise Sales_Total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42487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2487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2487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254252836782134"/>
          <c:y val="0.15405413183867589"/>
          <c:w val="0.682641766833468"/>
          <c:h val="0.77118247174460353"/>
        </c:manualLayout>
      </c:layout>
      <c:barChart>
        <c:barDir val="bar"/>
        <c:grouping val="clustered"/>
        <c:varyColors val="0"/>
        <c:ser>
          <c:idx val="0"/>
          <c:order val="0"/>
          <c:tx>
            <c:strRef>
              <c:f>'Analysis Page'!$B$65</c:f>
              <c:strCache>
                <c:ptCount val="1"/>
                <c:pt idx="0">
                  <c:v>Total</c:v>
                </c:pt>
              </c:strCache>
            </c:strRef>
          </c:tx>
          <c:spPr>
            <a:solidFill>
              <a:srgbClr val="42487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Page'!$A$66:$A$75</c:f>
              <c:strCache>
                <c:ptCount val="10"/>
                <c:pt idx="0">
                  <c:v>Mumbai</c:v>
                </c:pt>
                <c:pt idx="1">
                  <c:v>Ahmedabad</c:v>
                </c:pt>
                <c:pt idx="2">
                  <c:v>Bengaluru</c:v>
                </c:pt>
                <c:pt idx="3">
                  <c:v>Chennai</c:v>
                </c:pt>
                <c:pt idx="4">
                  <c:v>Delhi</c:v>
                </c:pt>
                <c:pt idx="5">
                  <c:v>Hyderabad</c:v>
                </c:pt>
                <c:pt idx="6">
                  <c:v>Jaipur</c:v>
                </c:pt>
                <c:pt idx="7">
                  <c:v>Kolkata</c:v>
                </c:pt>
                <c:pt idx="8">
                  <c:v>Lucknow</c:v>
                </c:pt>
                <c:pt idx="9">
                  <c:v>Pune</c:v>
                </c:pt>
              </c:strCache>
            </c:strRef>
          </c:cat>
          <c:val>
            <c:numRef>
              <c:f>'Analysis Page'!$B$66:$B$75</c:f>
              <c:numCache>
                <c:formatCode>#,###.00,\K</c:formatCode>
                <c:ptCount val="10"/>
                <c:pt idx="0">
                  <c:v>8505.1899999999987</c:v>
                </c:pt>
                <c:pt idx="1">
                  <c:v>13238.550000000001</c:v>
                </c:pt>
                <c:pt idx="2">
                  <c:v>3863.0299999999997</c:v>
                </c:pt>
                <c:pt idx="3">
                  <c:v>7983.92</c:v>
                </c:pt>
                <c:pt idx="4">
                  <c:v>6610.07</c:v>
                </c:pt>
                <c:pt idx="5">
                  <c:v>13889.380000000001</c:v>
                </c:pt>
                <c:pt idx="6">
                  <c:v>18614.190000000002</c:v>
                </c:pt>
                <c:pt idx="7">
                  <c:v>8679.7900000000009</c:v>
                </c:pt>
                <c:pt idx="8">
                  <c:v>8578.91</c:v>
                </c:pt>
                <c:pt idx="9">
                  <c:v>10664.689999999999</c:v>
                </c:pt>
              </c:numCache>
            </c:numRef>
          </c:val>
          <c:extLst>
            <c:ext xmlns:c16="http://schemas.microsoft.com/office/drawing/2014/chart" uri="{C3380CC4-5D6E-409C-BE32-E72D297353CC}">
              <c16:uniqueId val="{00000000-52E0-45FC-9B45-7392782B4C0A}"/>
            </c:ext>
          </c:extLst>
        </c:ser>
        <c:dLbls>
          <c:showLegendKey val="0"/>
          <c:showVal val="0"/>
          <c:showCatName val="0"/>
          <c:showSerName val="0"/>
          <c:showPercent val="0"/>
          <c:showBubbleSize val="0"/>
        </c:dLbls>
        <c:gapWidth val="270"/>
        <c:axId val="922727088"/>
        <c:axId val="922729968"/>
      </c:barChart>
      <c:catAx>
        <c:axId val="922727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29968"/>
        <c:crosses val="autoZero"/>
        <c:auto val="1"/>
        <c:lblAlgn val="ctr"/>
        <c:lblOffset val="100"/>
        <c:noMultiLvlLbl val="0"/>
      </c:catAx>
      <c:valAx>
        <c:axId val="922729968"/>
        <c:scaling>
          <c:orientation val="minMax"/>
        </c:scaling>
        <c:delete val="1"/>
        <c:axPos val="b"/>
        <c:numFmt formatCode="#,###.00,\K" sourceLinked="1"/>
        <c:majorTickMark val="none"/>
        <c:minorTickMark val="none"/>
        <c:tickLblPos val="nextTo"/>
        <c:crossAx val="922727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i="1"/>
              <a:t>Sales</a:t>
            </a:r>
            <a:r>
              <a:rPr lang="en-US" i="1" baseline="0"/>
              <a:t> vs Profit Prod_Level </a:t>
            </a:r>
            <a:endParaRPr lang="en-US"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'Analysis Page'!$N$52</c:f>
              <c:strCache>
                <c:ptCount val="1"/>
                <c:pt idx="0">
                  <c:v>#_Profit</c:v>
                </c:pt>
              </c:strCache>
            </c:strRef>
          </c:tx>
          <c:spPr>
            <a:ln w="19050" cap="rnd">
              <a:noFill/>
              <a:round/>
            </a:ln>
            <a:effectLst/>
          </c:spPr>
          <c:marker>
            <c:symbol val="circle"/>
            <c:size val="5"/>
            <c:spPr>
              <a:solidFill>
                <a:schemeClr val="accent1"/>
              </a:solidFill>
              <a:ln w="9525">
                <a:solidFill>
                  <a:schemeClr val="accent1"/>
                </a:solidFill>
              </a:ln>
              <a:effectLst/>
            </c:spPr>
          </c:marker>
          <c:xVal>
            <c:numRef>
              <c:f>'Analysis Page'!$N$53:$N$68</c:f>
              <c:numCache>
                <c:formatCode>General</c:formatCode>
                <c:ptCount val="16"/>
                <c:pt idx="0">
                  <c:v>1708.6000000000004</c:v>
                </c:pt>
                <c:pt idx="1">
                  <c:v>1162.78</c:v>
                </c:pt>
                <c:pt idx="2">
                  <c:v>2754.26</c:v>
                </c:pt>
                <c:pt idx="3">
                  <c:v>2472.9699999999993</c:v>
                </c:pt>
                <c:pt idx="4">
                  <c:v>2261.6499999999996</c:v>
                </c:pt>
                <c:pt idx="5">
                  <c:v>1400.5900000000001</c:v>
                </c:pt>
                <c:pt idx="6">
                  <c:v>1063.1300000000001</c:v>
                </c:pt>
                <c:pt idx="7">
                  <c:v>1014.1200000000001</c:v>
                </c:pt>
                <c:pt idx="8">
                  <c:v>903.82000000000016</c:v>
                </c:pt>
                <c:pt idx="9">
                  <c:v>799.41</c:v>
                </c:pt>
                <c:pt idx="10">
                  <c:v>1841.41</c:v>
                </c:pt>
                <c:pt idx="11">
                  <c:v>974.46999999999991</c:v>
                </c:pt>
                <c:pt idx="12">
                  <c:v>1695.9899999999998</c:v>
                </c:pt>
                <c:pt idx="13">
                  <c:v>509.43</c:v>
                </c:pt>
                <c:pt idx="14">
                  <c:v>423.21</c:v>
                </c:pt>
                <c:pt idx="15">
                  <c:v>1372.4800000000002</c:v>
                </c:pt>
              </c:numCache>
            </c:numRef>
          </c:xVal>
          <c:yVal>
            <c:numRef>
              <c:f>'Analysis Page'!$M$53:$M$68</c:f>
              <c:numCache>
                <c:formatCode>General</c:formatCode>
                <c:ptCount val="16"/>
                <c:pt idx="0">
                  <c:v>8440.65</c:v>
                </c:pt>
                <c:pt idx="1">
                  <c:v>7074.3499999999995</c:v>
                </c:pt>
                <c:pt idx="2">
                  <c:v>12239.73</c:v>
                </c:pt>
                <c:pt idx="3">
                  <c:v>9717.4500000000007</c:v>
                </c:pt>
                <c:pt idx="4">
                  <c:v>10186.279999999999</c:v>
                </c:pt>
                <c:pt idx="5">
                  <c:v>6890.7199999999993</c:v>
                </c:pt>
                <c:pt idx="6">
                  <c:v>5240.6400000000003</c:v>
                </c:pt>
                <c:pt idx="7">
                  <c:v>5417.05</c:v>
                </c:pt>
                <c:pt idx="8">
                  <c:v>4768.3</c:v>
                </c:pt>
                <c:pt idx="9">
                  <c:v>4551.3599999999997</c:v>
                </c:pt>
                <c:pt idx="10">
                  <c:v>9030.98</c:v>
                </c:pt>
                <c:pt idx="11">
                  <c:v>5595.74</c:v>
                </c:pt>
                <c:pt idx="12">
                  <c:v>8455.1</c:v>
                </c:pt>
                <c:pt idx="13">
                  <c:v>2697.08</c:v>
                </c:pt>
                <c:pt idx="14">
                  <c:v>1772.85</c:v>
                </c:pt>
                <c:pt idx="15">
                  <c:v>4928.6499999999996</c:v>
                </c:pt>
              </c:numCache>
            </c:numRef>
          </c:yVal>
          <c:smooth val="0"/>
          <c:extLst>
            <c:ext xmlns:c16="http://schemas.microsoft.com/office/drawing/2014/chart" uri="{C3380CC4-5D6E-409C-BE32-E72D297353CC}">
              <c16:uniqueId val="{00000000-D012-4299-A01F-67C080E2D10A}"/>
            </c:ext>
          </c:extLst>
        </c:ser>
        <c:dLbls>
          <c:showLegendKey val="0"/>
          <c:showVal val="0"/>
          <c:showCatName val="0"/>
          <c:showSerName val="0"/>
          <c:showPercent val="0"/>
          <c:showBubbleSize val="0"/>
        </c:dLbls>
        <c:axId val="1423315952"/>
        <c:axId val="1423316432"/>
      </c:scatterChart>
      <c:valAx>
        <c:axId val="1423315952"/>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316432"/>
        <c:crosses val="autoZero"/>
        <c:crossBetween val="midCat"/>
      </c:valAx>
      <c:valAx>
        <c:axId val="142331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31595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[Store Sales Performance Analytics Excel Dashboard.xlsm]Analysis Page!F_M_Donut_</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2487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70C0"/>
          </a:solidFill>
          <a:ln w="19050">
            <a:solidFill>
              <a:schemeClr val="lt1"/>
            </a:solidFill>
          </a:ln>
          <a:effectLst/>
        </c:spPr>
      </c:pivotFmt>
      <c:pivotFmt>
        <c:idx val="5"/>
        <c:spPr>
          <a:solidFill>
            <a:srgbClr val="424874"/>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70C0"/>
          </a:solidFill>
          <a:ln w="19050">
            <a:solidFill>
              <a:schemeClr val="lt1"/>
            </a:solidFill>
          </a:ln>
          <a:effectLst/>
        </c:spPr>
        <c:dLbl>
          <c:idx val="0"/>
          <c:layout>
            <c:manualLayout>
              <c:x val="0.18707081124350616"/>
              <c:y val="0.29192248193873299"/>
            </c:manualLayout>
          </c:layout>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3463221270154581"/>
                  <c:h val="0.24297681246700548"/>
                </c:manualLayout>
              </c15:layout>
            </c:ext>
          </c:extLst>
        </c:dLbl>
      </c:pivotFmt>
      <c:pivotFmt>
        <c:idx val="8"/>
        <c:spPr>
          <a:solidFill>
            <a:srgbClr val="424874"/>
          </a:solidFill>
          <a:ln w="19050">
            <a:solidFill>
              <a:schemeClr val="lt1"/>
            </a:solidFill>
          </a:ln>
          <a:effectLst/>
        </c:spPr>
        <c:dLbl>
          <c:idx val="0"/>
          <c:layout>
            <c:manualLayout>
              <c:x val="-0.12214447523744559"/>
              <c:y val="0.28219173254077518"/>
            </c:manualLayout>
          </c:layout>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3631974479128907"/>
                  <c:h val="0.24297681246700548"/>
                </c:manualLayout>
              </c15:layout>
            </c:ext>
          </c:extLst>
        </c:dLbl>
      </c:pivotFmt>
    </c:pivotFmts>
    <c:plotArea>
      <c:layout>
        <c:manualLayout>
          <c:layoutTarget val="inner"/>
          <c:xMode val="edge"/>
          <c:yMode val="edge"/>
          <c:x val="0.29047894542931085"/>
          <c:y val="0.27442858664312897"/>
          <c:w val="0.40170940170940173"/>
          <c:h val="0.55750762615139471"/>
        </c:manualLayout>
      </c:layout>
      <c:doughnutChart>
        <c:varyColors val="1"/>
        <c:ser>
          <c:idx val="0"/>
          <c:order val="0"/>
          <c:tx>
            <c:strRef>
              <c:f>'Analysis Page'!$C$5</c:f>
              <c:strCache>
                <c:ptCount val="1"/>
                <c:pt idx="0">
                  <c:v>Total</c:v>
                </c:pt>
              </c:strCache>
            </c:strRef>
          </c:tx>
          <c:explosion val="3"/>
          <c:dPt>
            <c:idx val="0"/>
            <c:bubble3D val="0"/>
            <c:spPr>
              <a:solidFill>
                <a:srgbClr val="0070C0"/>
              </a:solidFill>
              <a:ln w="19050">
                <a:solidFill>
                  <a:schemeClr val="lt1"/>
                </a:solidFill>
              </a:ln>
              <a:effectLst/>
            </c:spPr>
            <c:extLst>
              <c:ext xmlns:c16="http://schemas.microsoft.com/office/drawing/2014/chart" uri="{C3380CC4-5D6E-409C-BE32-E72D297353CC}">
                <c16:uniqueId val="{00000001-E628-4E30-B4DB-044BC2EA0898}"/>
              </c:ext>
            </c:extLst>
          </c:dPt>
          <c:dPt>
            <c:idx val="1"/>
            <c:bubble3D val="0"/>
            <c:spPr>
              <a:solidFill>
                <a:srgbClr val="424874"/>
              </a:solidFill>
              <a:ln w="19050">
                <a:solidFill>
                  <a:schemeClr val="lt1"/>
                </a:solidFill>
              </a:ln>
              <a:effectLst/>
            </c:spPr>
            <c:extLst>
              <c:ext xmlns:c16="http://schemas.microsoft.com/office/drawing/2014/chart" uri="{C3380CC4-5D6E-409C-BE32-E72D297353CC}">
                <c16:uniqueId val="{00000003-E628-4E30-B4DB-044BC2EA0898}"/>
              </c:ext>
            </c:extLst>
          </c:dPt>
          <c:dLbls>
            <c:dLbl>
              <c:idx val="0"/>
              <c:layout>
                <c:manualLayout>
                  <c:x val="0.18707081124350616"/>
                  <c:y val="0.29192248193873299"/>
                </c:manualLayout>
              </c:layout>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3463221270154581"/>
                      <c:h val="0.24297681246700548"/>
                    </c:manualLayout>
                  </c15:layout>
                </c:ext>
                <c:ext xmlns:c16="http://schemas.microsoft.com/office/drawing/2014/chart" uri="{C3380CC4-5D6E-409C-BE32-E72D297353CC}">
                  <c16:uniqueId val="{00000001-E628-4E30-B4DB-044BC2EA0898}"/>
                </c:ext>
              </c:extLst>
            </c:dLbl>
            <c:dLbl>
              <c:idx val="1"/>
              <c:layout>
                <c:manualLayout>
                  <c:x val="-0.12214447523744559"/>
                  <c:y val="0.28219173254077518"/>
                </c:manualLayout>
              </c:layout>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3631974479128907"/>
                      <c:h val="0.24297681246700548"/>
                    </c:manualLayout>
                  </c15:layout>
                </c:ext>
                <c:ext xmlns:c16="http://schemas.microsoft.com/office/drawing/2014/chart" uri="{C3380CC4-5D6E-409C-BE32-E72D297353CC}">
                  <c16:uniqueId val="{00000003-E628-4E30-B4DB-044BC2EA08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Page'!$B$6:$B$8</c:f>
              <c:strCache>
                <c:ptCount val="2"/>
                <c:pt idx="0">
                  <c:v>Female</c:v>
                </c:pt>
                <c:pt idx="1">
                  <c:v>Male</c:v>
                </c:pt>
              </c:strCache>
            </c:strRef>
          </c:cat>
          <c:val>
            <c:numRef>
              <c:f>'Analysis Page'!$C$6:$C$8</c:f>
              <c:numCache>
                <c:formatCode>General</c:formatCode>
                <c:ptCount val="2"/>
                <c:pt idx="0">
                  <c:v>44999.359999999986</c:v>
                </c:pt>
                <c:pt idx="1">
                  <c:v>55628.359999999986</c:v>
                </c:pt>
              </c:numCache>
            </c:numRef>
          </c:val>
          <c:extLst>
            <c:ext xmlns:c16="http://schemas.microsoft.com/office/drawing/2014/chart" uri="{C3380CC4-5D6E-409C-BE32-E72D297353CC}">
              <c16:uniqueId val="{00000004-E628-4E30-B4DB-044BC2EA0898}"/>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r"/>
      <c:layout>
        <c:manualLayout>
          <c:xMode val="edge"/>
          <c:yMode val="edge"/>
          <c:x val="6.9196953712348658E-2"/>
          <c:y val="2.3433068241488286E-2"/>
          <c:w val="0.78986711332136794"/>
          <c:h val="0.2327071998489970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alpha val="28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28937</xdr:rowOff>
    </xdr:from>
    <xdr:to>
      <xdr:col>29</xdr:col>
      <xdr:colOff>67518</xdr:colOff>
      <xdr:row>48</xdr:row>
      <xdr:rowOff>2726</xdr:rowOff>
    </xdr:to>
    <xdr:sp macro="" textlink="">
      <xdr:nvSpPr>
        <xdr:cNvPr id="5" name="Rectangle 4">
          <a:extLst>
            <a:ext uri="{FF2B5EF4-FFF2-40B4-BE49-F238E27FC236}">
              <a16:creationId xmlns:a16="http://schemas.microsoft.com/office/drawing/2014/main" id="{DCE84507-EC35-F5D0-0CB1-F6589D209925}"/>
            </a:ext>
          </a:extLst>
        </xdr:cNvPr>
        <xdr:cNvSpPr/>
      </xdr:nvSpPr>
      <xdr:spPr>
        <a:xfrm>
          <a:off x="0" y="28937"/>
          <a:ext cx="17689974" cy="8770548"/>
        </a:xfrm>
        <a:prstGeom prst="rect">
          <a:avLst/>
        </a:prstGeom>
        <a:solidFill>
          <a:srgbClr val="F9F7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0</xdr:col>
      <xdr:colOff>0</xdr:colOff>
      <xdr:row>0</xdr:row>
      <xdr:rowOff>51485</xdr:rowOff>
    </xdr:from>
    <xdr:to>
      <xdr:col>3</xdr:col>
      <xdr:colOff>10297</xdr:colOff>
      <xdr:row>46</xdr:row>
      <xdr:rowOff>116542</xdr:rowOff>
    </xdr:to>
    <xdr:sp macro="" textlink="">
      <xdr:nvSpPr>
        <xdr:cNvPr id="2" name="Rectangle 1">
          <a:extLst>
            <a:ext uri="{FF2B5EF4-FFF2-40B4-BE49-F238E27FC236}">
              <a16:creationId xmlns:a16="http://schemas.microsoft.com/office/drawing/2014/main" id="{A3A9EFAA-4E0D-E5F8-0B93-44FA0EB49F5A}"/>
            </a:ext>
          </a:extLst>
        </xdr:cNvPr>
        <xdr:cNvSpPr/>
      </xdr:nvSpPr>
      <xdr:spPr>
        <a:xfrm>
          <a:off x="0" y="51485"/>
          <a:ext cx="1832919" cy="8591219"/>
        </a:xfrm>
        <a:prstGeom prst="rect">
          <a:avLst/>
        </a:prstGeom>
        <a:solidFill>
          <a:srgbClr val="424874"/>
        </a:solidFill>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53788</xdr:colOff>
      <xdr:row>0</xdr:row>
      <xdr:rowOff>71718</xdr:rowOff>
    </xdr:from>
    <xdr:to>
      <xdr:col>2</xdr:col>
      <xdr:colOff>457200</xdr:colOff>
      <xdr:row>2</xdr:row>
      <xdr:rowOff>134471</xdr:rowOff>
    </xdr:to>
    <xdr:sp macro="" textlink="">
      <xdr:nvSpPr>
        <xdr:cNvPr id="6" name="TextBox 5">
          <a:extLst>
            <a:ext uri="{FF2B5EF4-FFF2-40B4-BE49-F238E27FC236}">
              <a16:creationId xmlns:a16="http://schemas.microsoft.com/office/drawing/2014/main" id="{D2F68F6B-2590-2B5E-C6E8-78BE78C59BEC}"/>
            </a:ext>
          </a:extLst>
        </xdr:cNvPr>
        <xdr:cNvSpPr txBox="1"/>
      </xdr:nvSpPr>
      <xdr:spPr>
        <a:xfrm>
          <a:off x="53788" y="71718"/>
          <a:ext cx="1622612" cy="421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i="1">
              <a:solidFill>
                <a:schemeClr val="bg1"/>
              </a:solidFill>
            </a:rPr>
            <a:t>  Sales</a:t>
          </a:r>
          <a:r>
            <a:rPr lang="en-IN" sz="1800" b="1" i="1" baseline="0">
              <a:solidFill>
                <a:schemeClr val="bg1"/>
              </a:solidFill>
            </a:rPr>
            <a:t> </a:t>
          </a:r>
          <a:r>
            <a:rPr lang="en-IN" sz="1800" b="1" i="1" baseline="0">
              <a:ln>
                <a:noFill/>
              </a:ln>
              <a:solidFill>
                <a:schemeClr val="bg1"/>
              </a:solidFill>
            </a:rPr>
            <a:t>Analytis</a:t>
          </a:r>
          <a:r>
            <a:rPr lang="en-IN" sz="1800" b="1" i="1" baseline="0">
              <a:solidFill>
                <a:schemeClr val="bg1"/>
              </a:solidFill>
            </a:rPr>
            <a:t> </a:t>
          </a:r>
          <a:endParaRPr lang="en-IN" sz="1800" b="1" i="1">
            <a:solidFill>
              <a:schemeClr val="bg1"/>
            </a:solidFill>
          </a:endParaRPr>
        </a:p>
      </xdr:txBody>
    </xdr:sp>
    <xdr:clientData/>
  </xdr:twoCellAnchor>
  <xdr:twoCellAnchor>
    <xdr:from>
      <xdr:col>0</xdr:col>
      <xdr:colOff>429058</xdr:colOff>
      <xdr:row>2</xdr:row>
      <xdr:rowOff>141393</xdr:rowOff>
    </xdr:from>
    <xdr:to>
      <xdr:col>1</xdr:col>
      <xdr:colOff>516777</xdr:colOff>
      <xdr:row>4</xdr:row>
      <xdr:rowOff>87605</xdr:rowOff>
    </xdr:to>
    <xdr:sp macro="" textlink="">
      <xdr:nvSpPr>
        <xdr:cNvPr id="7" name="TextBox 6">
          <a:extLst>
            <a:ext uri="{FF2B5EF4-FFF2-40B4-BE49-F238E27FC236}">
              <a16:creationId xmlns:a16="http://schemas.microsoft.com/office/drawing/2014/main" id="{51B0B1BA-2AF1-40E4-957C-A2E6E3449D44}"/>
            </a:ext>
          </a:extLst>
        </xdr:cNvPr>
        <xdr:cNvSpPr txBox="1"/>
      </xdr:nvSpPr>
      <xdr:spPr>
        <a:xfrm>
          <a:off x="429058" y="507925"/>
          <a:ext cx="695390" cy="312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b="1" i="1">
              <a:solidFill>
                <a:schemeClr val="bg1"/>
              </a:solidFill>
            </a:rPr>
            <a:t>- : KPIs </a:t>
          </a:r>
        </a:p>
      </xdr:txBody>
    </xdr:sp>
    <xdr:clientData/>
  </xdr:twoCellAnchor>
  <xdr:twoCellAnchor>
    <xdr:from>
      <xdr:col>1</xdr:col>
      <xdr:colOff>308918</xdr:colOff>
      <xdr:row>7</xdr:row>
      <xdr:rowOff>21207</xdr:rowOff>
    </xdr:from>
    <xdr:to>
      <xdr:col>3</xdr:col>
      <xdr:colOff>113269</xdr:colOff>
      <xdr:row>9</xdr:row>
      <xdr:rowOff>5</xdr:rowOff>
    </xdr:to>
    <xdr:sp macro="" textlink="'Analysis Page'!A3">
      <xdr:nvSpPr>
        <xdr:cNvPr id="8" name="TextBox 7">
          <a:extLst>
            <a:ext uri="{FF2B5EF4-FFF2-40B4-BE49-F238E27FC236}">
              <a16:creationId xmlns:a16="http://schemas.microsoft.com/office/drawing/2014/main" id="{0E7B04C0-C41D-41BF-95EE-AB462C99B087}"/>
            </a:ext>
          </a:extLst>
        </xdr:cNvPr>
        <xdr:cNvSpPr txBox="1"/>
      </xdr:nvSpPr>
      <xdr:spPr>
        <a:xfrm>
          <a:off x="916459" y="1318666"/>
          <a:ext cx="1019432" cy="349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79A2283-BC46-4DB2-8D68-3AFC526C950B}" type="TxLink">
            <a:rPr lang="en-US" sz="1800" b="1" i="0" u="none" strike="noStrike">
              <a:solidFill>
                <a:schemeClr val="accent6">
                  <a:lumMod val="60000"/>
                  <a:lumOff val="40000"/>
                </a:schemeClr>
              </a:solidFill>
              <a:latin typeface="Calibri"/>
              <a:ea typeface="Calibri"/>
              <a:cs typeface="Calibri"/>
            </a:rPr>
            <a:pPr/>
            <a:t>100.63 K</a:t>
          </a:fld>
          <a:endParaRPr lang="en-IN" sz="1800" b="1" i="1">
            <a:solidFill>
              <a:schemeClr val="accent6">
                <a:lumMod val="60000"/>
                <a:lumOff val="40000"/>
              </a:schemeClr>
            </a:solidFill>
          </a:endParaRPr>
        </a:p>
      </xdr:txBody>
    </xdr:sp>
    <xdr:clientData/>
  </xdr:twoCellAnchor>
  <xdr:twoCellAnchor>
    <xdr:from>
      <xdr:col>0</xdr:col>
      <xdr:colOff>0</xdr:colOff>
      <xdr:row>7</xdr:row>
      <xdr:rowOff>45802</xdr:rowOff>
    </xdr:from>
    <xdr:to>
      <xdr:col>1</xdr:col>
      <xdr:colOff>80682</xdr:colOff>
      <xdr:row>8</xdr:row>
      <xdr:rowOff>168399</xdr:rowOff>
    </xdr:to>
    <xdr:sp macro="" textlink="">
      <xdr:nvSpPr>
        <xdr:cNvPr id="9" name="TextBox 8">
          <a:extLst>
            <a:ext uri="{FF2B5EF4-FFF2-40B4-BE49-F238E27FC236}">
              <a16:creationId xmlns:a16="http://schemas.microsoft.com/office/drawing/2014/main" id="{3C60BE4E-2F59-4066-BE25-443E154EAE00}"/>
            </a:ext>
          </a:extLst>
        </xdr:cNvPr>
        <xdr:cNvSpPr txBox="1"/>
      </xdr:nvSpPr>
      <xdr:spPr>
        <a:xfrm>
          <a:off x="0" y="1343261"/>
          <a:ext cx="688223" cy="307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a:solidFill>
                <a:schemeClr val="bg1"/>
              </a:solidFill>
            </a:rPr>
            <a:t>#_Sales</a:t>
          </a:r>
          <a:endParaRPr lang="en-IN" sz="1800" b="1" i="1">
            <a:solidFill>
              <a:schemeClr val="bg1"/>
            </a:solidFill>
          </a:endParaRPr>
        </a:p>
      </xdr:txBody>
    </xdr:sp>
    <xdr:clientData/>
  </xdr:twoCellAnchor>
  <xdr:twoCellAnchor>
    <xdr:from>
      <xdr:col>0</xdr:col>
      <xdr:colOff>0</xdr:colOff>
      <xdr:row>4</xdr:row>
      <xdr:rowOff>130843</xdr:rowOff>
    </xdr:from>
    <xdr:to>
      <xdr:col>1</xdr:col>
      <xdr:colOff>170329</xdr:colOff>
      <xdr:row>6</xdr:row>
      <xdr:rowOff>77051</xdr:rowOff>
    </xdr:to>
    <xdr:sp macro="" textlink="">
      <xdr:nvSpPr>
        <xdr:cNvPr id="11" name="TextBox 10">
          <a:extLst>
            <a:ext uri="{FF2B5EF4-FFF2-40B4-BE49-F238E27FC236}">
              <a16:creationId xmlns:a16="http://schemas.microsoft.com/office/drawing/2014/main" id="{E8427432-604C-47EA-A060-10BDD8BC6372}"/>
            </a:ext>
          </a:extLst>
        </xdr:cNvPr>
        <xdr:cNvSpPr txBox="1"/>
      </xdr:nvSpPr>
      <xdr:spPr>
        <a:xfrm>
          <a:off x="0" y="872248"/>
          <a:ext cx="777870" cy="316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a:solidFill>
                <a:schemeClr val="bg1"/>
              </a:solidFill>
            </a:rPr>
            <a:t>#_Orders</a:t>
          </a:r>
        </a:p>
      </xdr:txBody>
    </xdr:sp>
    <xdr:clientData/>
  </xdr:twoCellAnchor>
  <xdr:twoCellAnchor>
    <xdr:from>
      <xdr:col>2</xdr:col>
      <xdr:colOff>164757</xdr:colOff>
      <xdr:row>4</xdr:row>
      <xdr:rowOff>75358</xdr:rowOff>
    </xdr:from>
    <xdr:to>
      <xdr:col>3</xdr:col>
      <xdr:colOff>102973</xdr:colOff>
      <xdr:row>6</xdr:row>
      <xdr:rowOff>82379</xdr:rowOff>
    </xdr:to>
    <xdr:sp macro="" textlink="'Analysis Page'!E3">
      <xdr:nvSpPr>
        <xdr:cNvPr id="12" name="TextBox 11">
          <a:extLst>
            <a:ext uri="{FF2B5EF4-FFF2-40B4-BE49-F238E27FC236}">
              <a16:creationId xmlns:a16="http://schemas.microsoft.com/office/drawing/2014/main" id="{4BC63BD7-9F67-4795-985A-E73168EF3F4E}"/>
            </a:ext>
          </a:extLst>
        </xdr:cNvPr>
        <xdr:cNvSpPr txBox="1"/>
      </xdr:nvSpPr>
      <xdr:spPr>
        <a:xfrm>
          <a:off x="1379838" y="816763"/>
          <a:ext cx="545757" cy="37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64C269D-13CF-4799-8BA2-09D088AF34C5}" type="TxLink">
            <a:rPr lang="en-US" sz="1800" b="1" i="0" u="none" strike="noStrike">
              <a:solidFill>
                <a:schemeClr val="bg1"/>
              </a:solidFill>
              <a:latin typeface="Calibri"/>
              <a:ea typeface="Calibri"/>
              <a:cs typeface="Calibri"/>
            </a:rPr>
            <a:pPr marL="0" indent="0"/>
            <a:t>95</a:t>
          </a:fld>
          <a:endParaRPr lang="en-IN" sz="1800" b="1" i="0" u="none" strike="noStrike">
            <a:solidFill>
              <a:schemeClr val="bg1"/>
            </a:solidFill>
            <a:latin typeface="Calibri"/>
            <a:ea typeface="Calibri"/>
            <a:cs typeface="Calibri"/>
          </a:endParaRPr>
        </a:p>
      </xdr:txBody>
    </xdr:sp>
    <xdr:clientData/>
  </xdr:twoCellAnchor>
  <xdr:twoCellAnchor>
    <xdr:from>
      <xdr:col>1</xdr:col>
      <xdr:colOff>422187</xdr:colOff>
      <xdr:row>9</xdr:row>
      <xdr:rowOff>157900</xdr:rowOff>
    </xdr:from>
    <xdr:to>
      <xdr:col>3</xdr:col>
      <xdr:colOff>113270</xdr:colOff>
      <xdr:row>12</xdr:row>
      <xdr:rowOff>16874</xdr:rowOff>
    </xdr:to>
    <xdr:sp macro="" textlink="'Analysis Page'!C3">
      <xdr:nvSpPr>
        <xdr:cNvPr id="13" name="TextBox 12">
          <a:extLst>
            <a:ext uri="{FF2B5EF4-FFF2-40B4-BE49-F238E27FC236}">
              <a16:creationId xmlns:a16="http://schemas.microsoft.com/office/drawing/2014/main" id="{9493B9B3-8615-42B8-B51D-4EB167EE822B}"/>
            </a:ext>
          </a:extLst>
        </xdr:cNvPr>
        <xdr:cNvSpPr txBox="1"/>
      </xdr:nvSpPr>
      <xdr:spPr>
        <a:xfrm>
          <a:off x="1036020" y="1777150"/>
          <a:ext cx="918750" cy="398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82D9A0-B3DC-4545-B99E-765F89DF362D}" type="TxLink">
            <a:rPr lang="en-US" sz="1800" b="1" i="0" u="none" strike="noStrike">
              <a:solidFill>
                <a:schemeClr val="accent6">
                  <a:lumMod val="60000"/>
                  <a:lumOff val="40000"/>
                </a:schemeClr>
              </a:solidFill>
              <a:latin typeface="Calibri"/>
              <a:ea typeface="Calibri"/>
              <a:cs typeface="Calibri"/>
            </a:rPr>
            <a:pPr marL="0" indent="0"/>
            <a:t>21.17 K</a:t>
          </a:fld>
          <a:endParaRPr lang="en-IN" sz="1800" b="1" i="0" u="none" strike="noStrike">
            <a:solidFill>
              <a:schemeClr val="accent6">
                <a:lumMod val="60000"/>
                <a:lumOff val="40000"/>
              </a:schemeClr>
            </a:solidFill>
            <a:latin typeface="Calibri"/>
            <a:ea typeface="Calibri"/>
            <a:cs typeface="Calibri"/>
          </a:endParaRPr>
        </a:p>
      </xdr:txBody>
    </xdr:sp>
    <xdr:clientData/>
  </xdr:twoCellAnchor>
  <xdr:twoCellAnchor>
    <xdr:from>
      <xdr:col>0</xdr:col>
      <xdr:colOff>0</xdr:colOff>
      <xdr:row>10</xdr:row>
      <xdr:rowOff>15104</xdr:rowOff>
    </xdr:from>
    <xdr:to>
      <xdr:col>1</xdr:col>
      <xdr:colOff>125506</xdr:colOff>
      <xdr:row>11</xdr:row>
      <xdr:rowOff>132265</xdr:rowOff>
    </xdr:to>
    <xdr:sp macro="" textlink="">
      <xdr:nvSpPr>
        <xdr:cNvPr id="15" name="TextBox 14">
          <a:extLst>
            <a:ext uri="{FF2B5EF4-FFF2-40B4-BE49-F238E27FC236}">
              <a16:creationId xmlns:a16="http://schemas.microsoft.com/office/drawing/2014/main" id="{93842678-B2A0-404C-8DF1-A5A61F70B778}"/>
            </a:ext>
          </a:extLst>
        </xdr:cNvPr>
        <xdr:cNvSpPr txBox="1"/>
      </xdr:nvSpPr>
      <xdr:spPr>
        <a:xfrm>
          <a:off x="0" y="1814271"/>
          <a:ext cx="739339" cy="297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1">
              <a:solidFill>
                <a:schemeClr val="bg1"/>
              </a:solidFill>
            </a:rPr>
            <a:t>#_Profit</a:t>
          </a:r>
          <a:endParaRPr lang="en-IN" sz="1800" b="1" i="1">
            <a:solidFill>
              <a:schemeClr val="bg1"/>
            </a:solidFill>
          </a:endParaRPr>
        </a:p>
      </xdr:txBody>
    </xdr:sp>
    <xdr:clientData/>
  </xdr:twoCellAnchor>
  <xdr:twoCellAnchor>
    <xdr:from>
      <xdr:col>1</xdr:col>
      <xdr:colOff>391294</xdr:colOff>
      <xdr:row>15</xdr:row>
      <xdr:rowOff>130435</xdr:rowOff>
    </xdr:from>
    <xdr:to>
      <xdr:col>3</xdr:col>
      <xdr:colOff>144159</xdr:colOff>
      <xdr:row>17</xdr:row>
      <xdr:rowOff>155031</xdr:rowOff>
    </xdr:to>
    <xdr:sp macro="" textlink="'Analysis Page'!D3">
      <xdr:nvSpPr>
        <xdr:cNvPr id="16" name="TextBox 15">
          <a:extLst>
            <a:ext uri="{FF2B5EF4-FFF2-40B4-BE49-F238E27FC236}">
              <a16:creationId xmlns:a16="http://schemas.microsoft.com/office/drawing/2014/main" id="{1E4B2230-0255-4BA0-8542-1AC162D05D10}"/>
            </a:ext>
          </a:extLst>
        </xdr:cNvPr>
        <xdr:cNvSpPr txBox="1"/>
      </xdr:nvSpPr>
      <xdr:spPr>
        <a:xfrm>
          <a:off x="1005127" y="2829185"/>
          <a:ext cx="980532" cy="384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F7E957C-DE2A-4DF5-822A-E9428B8AFDE7}" type="TxLink">
            <a:rPr lang="en-US" sz="1800" b="1" i="0" u="none" strike="noStrike">
              <a:solidFill>
                <a:schemeClr val="accent4">
                  <a:lumMod val="75000"/>
                </a:schemeClr>
              </a:solidFill>
              <a:latin typeface="Calibri"/>
              <a:ea typeface="Calibri"/>
              <a:cs typeface="Calibri"/>
            </a:rPr>
            <a:pPr marL="0" indent="0"/>
            <a:t>15.36 %</a:t>
          </a:fld>
          <a:endParaRPr lang="en-IN" sz="1800" b="1" i="0" u="none" strike="noStrike">
            <a:solidFill>
              <a:schemeClr val="accent4">
                <a:lumMod val="75000"/>
              </a:schemeClr>
            </a:solidFill>
            <a:latin typeface="Calibri"/>
            <a:ea typeface="Calibri"/>
            <a:cs typeface="Calibri"/>
          </a:endParaRPr>
        </a:p>
      </xdr:txBody>
    </xdr:sp>
    <xdr:clientData/>
  </xdr:twoCellAnchor>
  <xdr:twoCellAnchor>
    <xdr:from>
      <xdr:col>0</xdr:col>
      <xdr:colOff>1</xdr:colOff>
      <xdr:row>15</xdr:row>
      <xdr:rowOff>102730</xdr:rowOff>
    </xdr:from>
    <xdr:to>
      <xdr:col>1</xdr:col>
      <xdr:colOff>92676</xdr:colOff>
      <xdr:row>18</xdr:row>
      <xdr:rowOff>50634</xdr:rowOff>
    </xdr:to>
    <xdr:sp macro="" textlink="">
      <xdr:nvSpPr>
        <xdr:cNvPr id="19" name="TextBox 18">
          <a:extLst>
            <a:ext uri="{FF2B5EF4-FFF2-40B4-BE49-F238E27FC236}">
              <a16:creationId xmlns:a16="http://schemas.microsoft.com/office/drawing/2014/main" id="{0F7FCF3B-0C11-4ACC-ABB9-A61FAC9ABA62}"/>
            </a:ext>
          </a:extLst>
        </xdr:cNvPr>
        <xdr:cNvSpPr txBox="1"/>
      </xdr:nvSpPr>
      <xdr:spPr>
        <a:xfrm>
          <a:off x="1" y="2801480"/>
          <a:ext cx="706508" cy="487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1">
              <a:solidFill>
                <a:schemeClr val="bg1"/>
              </a:solidFill>
            </a:rPr>
            <a:t>#_Avg_Discount</a:t>
          </a:r>
        </a:p>
      </xdr:txBody>
    </xdr:sp>
    <xdr:clientData/>
  </xdr:twoCellAnchor>
  <xdr:twoCellAnchor>
    <xdr:from>
      <xdr:col>2</xdr:col>
      <xdr:colOff>133866</xdr:colOff>
      <xdr:row>18</xdr:row>
      <xdr:rowOff>94085</xdr:rowOff>
    </xdr:from>
    <xdr:to>
      <xdr:col>3</xdr:col>
      <xdr:colOff>144163</xdr:colOff>
      <xdr:row>20</xdr:row>
      <xdr:rowOff>48170</xdr:rowOff>
    </xdr:to>
    <xdr:sp macro="" textlink="'Analysis Page'!E3">
      <xdr:nvSpPr>
        <xdr:cNvPr id="20" name="TextBox 19">
          <a:extLst>
            <a:ext uri="{FF2B5EF4-FFF2-40B4-BE49-F238E27FC236}">
              <a16:creationId xmlns:a16="http://schemas.microsoft.com/office/drawing/2014/main" id="{7E803115-AEF5-4E2F-9176-B947F8150947}"/>
            </a:ext>
          </a:extLst>
        </xdr:cNvPr>
        <xdr:cNvSpPr txBox="1"/>
      </xdr:nvSpPr>
      <xdr:spPr>
        <a:xfrm>
          <a:off x="1361533" y="3332585"/>
          <a:ext cx="624130" cy="3139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983C2A1-72CA-4161-BA8C-90984C517020}" type="TxLink">
            <a:rPr lang="en-US" sz="1800" b="1" i="0" u="none" strike="noStrike">
              <a:solidFill>
                <a:schemeClr val="bg1"/>
              </a:solidFill>
              <a:latin typeface="Calibri"/>
              <a:ea typeface="Calibri"/>
              <a:cs typeface="Calibri"/>
            </a:rPr>
            <a:pPr marL="0" indent="0"/>
            <a:t>95</a:t>
          </a:fld>
          <a:endParaRPr lang="en-IN" sz="1800" b="1" i="0" u="none" strike="noStrike">
            <a:solidFill>
              <a:schemeClr val="bg1"/>
            </a:solidFill>
            <a:latin typeface="Calibri"/>
            <a:ea typeface="Calibri"/>
            <a:cs typeface="Calibri"/>
          </a:endParaRPr>
        </a:p>
      </xdr:txBody>
    </xdr:sp>
    <xdr:clientData/>
  </xdr:twoCellAnchor>
  <xdr:twoCellAnchor>
    <xdr:from>
      <xdr:col>0</xdr:col>
      <xdr:colOff>0</xdr:colOff>
      <xdr:row>18</xdr:row>
      <xdr:rowOff>145596</xdr:rowOff>
    </xdr:from>
    <xdr:to>
      <xdr:col>1</xdr:col>
      <xdr:colOff>349250</xdr:colOff>
      <xdr:row>20</xdr:row>
      <xdr:rowOff>74085</xdr:rowOff>
    </xdr:to>
    <xdr:sp macro="" textlink="">
      <xdr:nvSpPr>
        <xdr:cNvPr id="22" name="TextBox 21">
          <a:extLst>
            <a:ext uri="{FF2B5EF4-FFF2-40B4-BE49-F238E27FC236}">
              <a16:creationId xmlns:a16="http://schemas.microsoft.com/office/drawing/2014/main" id="{105D7926-097C-498A-AC0A-3C3682D9DC5E}"/>
            </a:ext>
          </a:extLst>
        </xdr:cNvPr>
        <xdr:cNvSpPr txBox="1"/>
      </xdr:nvSpPr>
      <xdr:spPr>
        <a:xfrm>
          <a:off x="0" y="3384096"/>
          <a:ext cx="963083" cy="2883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1">
              <a:solidFill>
                <a:schemeClr val="bg1"/>
              </a:solidFill>
            </a:rPr>
            <a:t>#_Customers</a:t>
          </a:r>
        </a:p>
      </xdr:txBody>
    </xdr:sp>
    <xdr:clientData/>
  </xdr:twoCellAnchor>
  <xdr:twoCellAnchor>
    <xdr:from>
      <xdr:col>0</xdr:col>
      <xdr:colOff>0</xdr:colOff>
      <xdr:row>12</xdr:row>
      <xdr:rowOff>181358</xdr:rowOff>
    </xdr:from>
    <xdr:to>
      <xdr:col>1</xdr:col>
      <xdr:colOff>484094</xdr:colOff>
      <xdr:row>14</xdr:row>
      <xdr:rowOff>94615</xdr:rowOff>
    </xdr:to>
    <xdr:sp macro="" textlink="">
      <xdr:nvSpPr>
        <xdr:cNvPr id="23" name="TextBox 22">
          <a:extLst>
            <a:ext uri="{FF2B5EF4-FFF2-40B4-BE49-F238E27FC236}">
              <a16:creationId xmlns:a16="http://schemas.microsoft.com/office/drawing/2014/main" id="{5955130A-AAF2-4744-A820-9DA851F54A74}"/>
            </a:ext>
          </a:extLst>
        </xdr:cNvPr>
        <xdr:cNvSpPr txBox="1"/>
      </xdr:nvSpPr>
      <xdr:spPr>
        <a:xfrm>
          <a:off x="0" y="2405574"/>
          <a:ext cx="1091635" cy="283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1">
              <a:solidFill>
                <a:schemeClr val="bg1"/>
              </a:solidFill>
            </a:rPr>
            <a:t>#_Profit_%</a:t>
          </a:r>
        </a:p>
      </xdr:txBody>
    </xdr:sp>
    <xdr:clientData/>
  </xdr:twoCellAnchor>
  <xdr:twoCellAnchor>
    <xdr:from>
      <xdr:col>1</xdr:col>
      <xdr:colOff>442783</xdr:colOff>
      <xdr:row>12</xdr:row>
      <xdr:rowOff>117876</xdr:rowOff>
    </xdr:from>
    <xdr:to>
      <xdr:col>3</xdr:col>
      <xdr:colOff>154459</xdr:colOff>
      <xdr:row>14</xdr:row>
      <xdr:rowOff>113270</xdr:rowOff>
    </xdr:to>
    <xdr:sp macro="" textlink="'Analysis Page'!F3">
      <xdr:nvSpPr>
        <xdr:cNvPr id="24" name="TextBox 23">
          <a:extLst>
            <a:ext uri="{FF2B5EF4-FFF2-40B4-BE49-F238E27FC236}">
              <a16:creationId xmlns:a16="http://schemas.microsoft.com/office/drawing/2014/main" id="{12674396-7EC5-4AC0-B4F6-B174A66E5783}"/>
            </a:ext>
          </a:extLst>
        </xdr:cNvPr>
        <xdr:cNvSpPr txBox="1"/>
      </xdr:nvSpPr>
      <xdr:spPr>
        <a:xfrm>
          <a:off x="1050324" y="2342092"/>
          <a:ext cx="926757" cy="366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CE64A11-B280-4506-9A17-A2329C74931E}" type="TxLink">
            <a:rPr lang="en-US" sz="1800" b="1" i="0" u="none" strike="noStrike">
              <a:solidFill>
                <a:schemeClr val="accent4">
                  <a:lumMod val="75000"/>
                </a:schemeClr>
              </a:solidFill>
              <a:latin typeface="Calibri"/>
              <a:ea typeface="Calibri"/>
              <a:cs typeface="Calibri"/>
            </a:rPr>
            <a:pPr marL="0" indent="0"/>
            <a:t>21.04%</a:t>
          </a:fld>
          <a:endParaRPr lang="en-IN" sz="1800" b="1" i="0" u="none" strike="noStrike">
            <a:solidFill>
              <a:schemeClr val="accent4">
                <a:lumMod val="75000"/>
              </a:schemeClr>
            </a:solidFill>
            <a:latin typeface="Calibri"/>
            <a:ea typeface="Calibri"/>
            <a:cs typeface="Calibri"/>
          </a:endParaRPr>
        </a:p>
      </xdr:txBody>
    </xdr:sp>
    <xdr:clientData/>
  </xdr:twoCellAnchor>
  <xdr:twoCellAnchor>
    <xdr:from>
      <xdr:col>3</xdr:col>
      <xdr:colOff>197903</xdr:colOff>
      <xdr:row>0</xdr:row>
      <xdr:rowOff>49699</xdr:rowOff>
    </xdr:from>
    <xdr:to>
      <xdr:col>13</xdr:col>
      <xdr:colOff>202556</xdr:colOff>
      <xdr:row>14</xdr:row>
      <xdr:rowOff>67518</xdr:rowOff>
    </xdr:to>
    <xdr:graphicFrame macro="">
      <xdr:nvGraphicFramePr>
        <xdr:cNvPr id="25" name="Chart 24">
          <a:extLst>
            <a:ext uri="{FF2B5EF4-FFF2-40B4-BE49-F238E27FC236}">
              <a16:creationId xmlns:a16="http://schemas.microsoft.com/office/drawing/2014/main" id="{5DF7F4EF-1AC1-481B-BA72-01FC20F774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260430</xdr:colOff>
      <xdr:row>0</xdr:row>
      <xdr:rowOff>53660</xdr:rowOff>
    </xdr:from>
    <xdr:to>
      <xdr:col>20</xdr:col>
      <xdr:colOff>520860</xdr:colOff>
      <xdr:row>14</xdr:row>
      <xdr:rowOff>74084</xdr:rowOff>
    </xdr:to>
    <xdr:sp macro="" textlink="">
      <xdr:nvSpPr>
        <xdr:cNvPr id="30" name="Rectangle 29">
          <a:extLst>
            <a:ext uri="{FF2B5EF4-FFF2-40B4-BE49-F238E27FC236}">
              <a16:creationId xmlns:a16="http://schemas.microsoft.com/office/drawing/2014/main" id="{5AA0F95C-CD0B-75B2-381E-E2EBCADA5C1A}"/>
            </a:ext>
          </a:extLst>
        </xdr:cNvPr>
        <xdr:cNvSpPr/>
      </xdr:nvSpPr>
      <xdr:spPr>
        <a:xfrm>
          <a:off x="8240263" y="53660"/>
          <a:ext cx="4557264" cy="2539257"/>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13</xdr:col>
          <xdr:colOff>514070</xdr:colOff>
          <xdr:row>5</xdr:row>
          <xdr:rowOff>69677</xdr:rowOff>
        </xdr:from>
        <xdr:to>
          <xdr:col>20</xdr:col>
          <xdr:colOff>364905</xdr:colOff>
          <xdr:row>12</xdr:row>
          <xdr:rowOff>21685</xdr:rowOff>
        </xdr:to>
        <xdr:pic>
          <xdr:nvPicPr>
            <xdr:cNvPr id="29" name="Picture 28">
              <a:extLst>
                <a:ext uri="{FF2B5EF4-FFF2-40B4-BE49-F238E27FC236}">
                  <a16:creationId xmlns:a16="http://schemas.microsoft.com/office/drawing/2014/main" id="{8430F4DE-5392-735F-BB98-D59DA0F317F7}"/>
                </a:ext>
              </a:extLst>
            </xdr:cNvPr>
            <xdr:cNvPicPr>
              <a:picLocks noChangeAspect="1" noChangeArrowheads="1"/>
              <a:extLst>
                <a:ext uri="{84589F7E-364E-4C9E-8A38-B11213B215E9}">
                  <a14:cameraTool cellRange="'Analysis Page'!$H$29:$L$33" spid="_x0000_s4129"/>
                </a:ext>
              </a:extLst>
            </xdr:cNvPicPr>
          </xdr:nvPicPr>
          <xdr:blipFill>
            <a:blip xmlns:r="http://schemas.openxmlformats.org/officeDocument/2006/relationships" r:embed="rId2"/>
            <a:srcRect/>
            <a:stretch>
              <a:fillRect/>
            </a:stretch>
          </xdr:blipFill>
          <xdr:spPr bwMode="auto">
            <a:xfrm>
              <a:off x="8466774" y="981931"/>
              <a:ext cx="4133061" cy="122916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101541</xdr:colOff>
      <xdr:row>14</xdr:row>
      <xdr:rowOff>144684</xdr:rowOff>
    </xdr:from>
    <xdr:to>
      <xdr:col>9</xdr:col>
      <xdr:colOff>329513</xdr:colOff>
      <xdr:row>32</xdr:row>
      <xdr:rowOff>38584</xdr:rowOff>
    </xdr:to>
    <xdr:graphicFrame macro="">
      <xdr:nvGraphicFramePr>
        <xdr:cNvPr id="31" name="Chart 30">
          <a:extLst>
            <a:ext uri="{FF2B5EF4-FFF2-40B4-BE49-F238E27FC236}">
              <a16:creationId xmlns:a16="http://schemas.microsoft.com/office/drawing/2014/main" id="{10BEC139-A7E8-4EC7-8345-7C5862FC74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592666</xdr:colOff>
      <xdr:row>0</xdr:row>
      <xdr:rowOff>77164</xdr:rowOff>
    </xdr:from>
    <xdr:to>
      <xdr:col>29</xdr:col>
      <xdr:colOff>28937</xdr:colOff>
      <xdr:row>14</xdr:row>
      <xdr:rowOff>95250</xdr:rowOff>
    </xdr:to>
    <xdr:graphicFrame macro="">
      <xdr:nvGraphicFramePr>
        <xdr:cNvPr id="32" name="Chart 31">
          <a:extLst>
            <a:ext uri="{FF2B5EF4-FFF2-40B4-BE49-F238E27FC236}">
              <a16:creationId xmlns:a16="http://schemas.microsoft.com/office/drawing/2014/main" id="{8C13CADA-AA61-441E-8896-C58AF78C2F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376175</xdr:colOff>
      <xdr:row>14</xdr:row>
      <xdr:rowOff>144685</xdr:rowOff>
    </xdr:from>
    <xdr:to>
      <xdr:col>15</xdr:col>
      <xdr:colOff>578734</xdr:colOff>
      <xdr:row>32</xdr:row>
      <xdr:rowOff>67521</xdr:rowOff>
    </xdr:to>
    <xdr:graphicFrame macro="">
      <xdr:nvGraphicFramePr>
        <xdr:cNvPr id="34" name="Chart 33">
          <a:extLst>
            <a:ext uri="{FF2B5EF4-FFF2-40B4-BE49-F238E27FC236}">
              <a16:creationId xmlns:a16="http://schemas.microsoft.com/office/drawing/2014/main" id="{39E55D7F-F957-4AE7-9264-904F1B72BB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144682</xdr:colOff>
      <xdr:row>14</xdr:row>
      <xdr:rowOff>144682</xdr:rowOff>
    </xdr:from>
    <xdr:to>
      <xdr:col>29</xdr:col>
      <xdr:colOff>19290</xdr:colOff>
      <xdr:row>32</xdr:row>
      <xdr:rowOff>57872</xdr:rowOff>
    </xdr:to>
    <xdr:graphicFrame macro="">
      <xdr:nvGraphicFramePr>
        <xdr:cNvPr id="35" name="Chart 34">
          <a:extLst>
            <a:ext uri="{FF2B5EF4-FFF2-40B4-BE49-F238E27FC236}">
              <a16:creationId xmlns:a16="http://schemas.microsoft.com/office/drawing/2014/main" id="{9BB02FD3-6F5C-46EB-8697-E55FADD71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38582</xdr:colOff>
      <xdr:row>0</xdr:row>
      <xdr:rowOff>140941</xdr:rowOff>
    </xdr:from>
    <xdr:to>
      <xdr:col>14</xdr:col>
      <xdr:colOff>173054</xdr:colOff>
      <xdr:row>2</xdr:row>
      <xdr:rowOff>158869</xdr:rowOff>
    </xdr:to>
    <xdr:sp macro="" textlink="'Analysis Page'!E3">
      <xdr:nvSpPr>
        <xdr:cNvPr id="36" name="TextBox 35">
          <a:extLst>
            <a:ext uri="{FF2B5EF4-FFF2-40B4-BE49-F238E27FC236}">
              <a16:creationId xmlns:a16="http://schemas.microsoft.com/office/drawing/2014/main" id="{4F5125CD-3686-4C4B-BDCC-03944CE51F97}"/>
            </a:ext>
          </a:extLst>
        </xdr:cNvPr>
        <xdr:cNvSpPr txBox="1"/>
      </xdr:nvSpPr>
      <xdr:spPr>
        <a:xfrm>
          <a:off x="7938304" y="140941"/>
          <a:ext cx="742142" cy="384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endParaRPr lang="en-IN" sz="1800" b="1" i="0" u="none" strike="noStrike">
            <a:solidFill>
              <a:schemeClr val="tx1">
                <a:lumMod val="50000"/>
                <a:lumOff val="50000"/>
              </a:schemeClr>
            </a:solidFill>
            <a:latin typeface="Calibri"/>
            <a:ea typeface="Calibri"/>
            <a:cs typeface="Calibri"/>
          </a:endParaRPr>
        </a:p>
      </xdr:txBody>
    </xdr:sp>
    <xdr:clientData/>
  </xdr:twoCellAnchor>
  <xdr:twoCellAnchor>
    <xdr:from>
      <xdr:col>15</xdr:col>
      <xdr:colOff>591729</xdr:colOff>
      <xdr:row>14</xdr:row>
      <xdr:rowOff>144683</xdr:rowOff>
    </xdr:from>
    <xdr:to>
      <xdr:col>23</xdr:col>
      <xdr:colOff>55061</xdr:colOff>
      <xdr:row>32</xdr:row>
      <xdr:rowOff>51486</xdr:rowOff>
    </xdr:to>
    <xdr:graphicFrame macro="">
      <xdr:nvGraphicFramePr>
        <xdr:cNvPr id="37" name="Chart 36">
          <a:extLst>
            <a:ext uri="{FF2B5EF4-FFF2-40B4-BE49-F238E27FC236}">
              <a16:creationId xmlns:a16="http://schemas.microsoft.com/office/drawing/2014/main" id="{4F0CC1D5-3098-4951-906F-E5C33B8ED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52917</xdr:colOff>
      <xdr:row>0</xdr:row>
      <xdr:rowOff>57874</xdr:rowOff>
    </xdr:from>
    <xdr:to>
      <xdr:col>29</xdr:col>
      <xdr:colOff>10129</xdr:colOff>
      <xdr:row>6</xdr:row>
      <xdr:rowOff>158750</xdr:rowOff>
    </xdr:to>
    <xdr:graphicFrame macro="">
      <xdr:nvGraphicFramePr>
        <xdr:cNvPr id="38" name="Chart 37">
          <a:extLst>
            <a:ext uri="{FF2B5EF4-FFF2-40B4-BE49-F238E27FC236}">
              <a16:creationId xmlns:a16="http://schemas.microsoft.com/office/drawing/2014/main" id="{F2D7A15A-07C6-4BB6-8024-C430E0D82E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366532</xdr:colOff>
      <xdr:row>1</xdr:row>
      <xdr:rowOff>106101</xdr:rowOff>
    </xdr:from>
    <xdr:to>
      <xdr:col>19</xdr:col>
      <xdr:colOff>588380</xdr:colOff>
      <xdr:row>3</xdr:row>
      <xdr:rowOff>115747</xdr:rowOff>
    </xdr:to>
    <xdr:sp macro="" textlink="">
      <xdr:nvSpPr>
        <xdr:cNvPr id="39" name="TextBox 38">
          <a:extLst>
            <a:ext uri="{FF2B5EF4-FFF2-40B4-BE49-F238E27FC236}">
              <a16:creationId xmlns:a16="http://schemas.microsoft.com/office/drawing/2014/main" id="{0D1A883A-1259-0178-1550-77AF77D822D2}"/>
            </a:ext>
          </a:extLst>
        </xdr:cNvPr>
        <xdr:cNvSpPr txBox="1"/>
      </xdr:nvSpPr>
      <xdr:spPr>
        <a:xfrm>
          <a:off x="8873924" y="289367"/>
          <a:ext cx="3260203" cy="3761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b="0" i="1"/>
            <a:t>Region</a:t>
          </a:r>
          <a:r>
            <a:rPr lang="en-IN" sz="1300" b="0" i="1" baseline="0"/>
            <a:t> Vs Category Sales_%_Disribution</a:t>
          </a:r>
          <a:endParaRPr lang="en-IN" sz="1300" b="0" i="1"/>
        </a:p>
      </xdr:txBody>
    </xdr:sp>
    <xdr:clientData/>
  </xdr:twoCellAnchor>
  <xdr:twoCellAnchor editAs="oneCell">
    <xdr:from>
      <xdr:col>0</xdr:col>
      <xdr:colOff>0</xdr:colOff>
      <xdr:row>22</xdr:row>
      <xdr:rowOff>135062</xdr:rowOff>
    </xdr:from>
    <xdr:to>
      <xdr:col>3</xdr:col>
      <xdr:colOff>10733</xdr:colOff>
      <xdr:row>27</xdr:row>
      <xdr:rowOff>95393</xdr:rowOff>
    </xdr:to>
    <mc:AlternateContent xmlns:mc="http://schemas.openxmlformats.org/markup-compatibility/2006" xmlns:a14="http://schemas.microsoft.com/office/drawing/2010/main">
      <mc:Choice Requires="a14">
        <xdr:graphicFrame macro="">
          <xdr:nvGraphicFramePr>
            <xdr:cNvPr id="40" name="Region">
              <a:extLst>
                <a:ext uri="{FF2B5EF4-FFF2-40B4-BE49-F238E27FC236}">
                  <a16:creationId xmlns:a16="http://schemas.microsoft.com/office/drawing/2014/main" id="{67739406-5142-4DF9-96EE-FE2E08CB095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4093229"/>
              <a:ext cx="1852233" cy="8599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28</xdr:row>
      <xdr:rowOff>40857</xdr:rowOff>
    </xdr:from>
    <xdr:to>
      <xdr:col>3</xdr:col>
      <xdr:colOff>10733</xdr:colOff>
      <xdr:row>32</xdr:row>
      <xdr:rowOff>148908</xdr:rowOff>
    </xdr:to>
    <mc:AlternateContent xmlns:mc="http://schemas.openxmlformats.org/markup-compatibility/2006" xmlns:a14="http://schemas.microsoft.com/office/drawing/2010/main">
      <mc:Choice Requires="a14">
        <xdr:graphicFrame macro="">
          <xdr:nvGraphicFramePr>
            <xdr:cNvPr id="41" name="Product_Category">
              <a:extLst>
                <a:ext uri="{FF2B5EF4-FFF2-40B4-BE49-F238E27FC236}">
                  <a16:creationId xmlns:a16="http://schemas.microsoft.com/office/drawing/2014/main" id="{39FE169F-CFAA-46E1-AD9C-11EAABABCC2F}"/>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0" y="5078524"/>
              <a:ext cx="1852233" cy="8277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33</xdr:row>
      <xdr:rowOff>134776</xdr:rowOff>
    </xdr:from>
    <xdr:to>
      <xdr:col>3</xdr:col>
      <xdr:colOff>21465</xdr:colOff>
      <xdr:row>37</xdr:row>
      <xdr:rowOff>54555</xdr:rowOff>
    </xdr:to>
    <mc:AlternateContent xmlns:mc="http://schemas.openxmlformats.org/markup-compatibility/2006" xmlns:a14="http://schemas.microsoft.com/office/drawing/2010/main">
      <mc:Choice Requires="a14">
        <xdr:graphicFrame macro="">
          <xdr:nvGraphicFramePr>
            <xdr:cNvPr id="42" name="Year">
              <a:extLst>
                <a:ext uri="{FF2B5EF4-FFF2-40B4-BE49-F238E27FC236}">
                  <a16:creationId xmlns:a16="http://schemas.microsoft.com/office/drawing/2014/main" id="{2B1AF298-3B12-4FE6-AD59-C9251338A7D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0" y="6072026"/>
              <a:ext cx="1862965" cy="6394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590281</xdr:colOff>
      <xdr:row>33</xdr:row>
      <xdr:rowOff>171720</xdr:rowOff>
    </xdr:from>
    <xdr:to>
      <xdr:col>18</xdr:col>
      <xdr:colOff>203915</xdr:colOff>
      <xdr:row>35</xdr:row>
      <xdr:rowOff>85860</xdr:rowOff>
    </xdr:to>
    <xdr:sp macro="" textlink="">
      <xdr:nvSpPr>
        <xdr:cNvPr id="43" name="TextBox 42">
          <a:extLst>
            <a:ext uri="{FF2B5EF4-FFF2-40B4-BE49-F238E27FC236}">
              <a16:creationId xmlns:a16="http://schemas.microsoft.com/office/drawing/2014/main" id="{E29EB57C-9186-E372-FCF3-E0617037EB6A}"/>
            </a:ext>
          </a:extLst>
        </xdr:cNvPr>
        <xdr:cNvSpPr txBox="1"/>
      </xdr:nvSpPr>
      <xdr:spPr>
        <a:xfrm>
          <a:off x="6707746" y="6192593"/>
          <a:ext cx="4507606" cy="279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2">
                  <a:lumMod val="75000"/>
                </a:schemeClr>
              </a:solidFill>
            </a:rPr>
            <a:t> TCS'Ion</a:t>
          </a:r>
          <a:r>
            <a:rPr lang="en-IN" sz="1100" b="1" baseline="0">
              <a:solidFill>
                <a:schemeClr val="bg2">
                  <a:lumMod val="75000"/>
                </a:schemeClr>
              </a:solidFill>
            </a:rPr>
            <a:t> Project Report ( Made__in_1_Day )     To_Refresh Data - &gt;</a:t>
          </a:r>
          <a:endParaRPr lang="en-IN" sz="1100" b="1">
            <a:solidFill>
              <a:schemeClr val="bg2">
                <a:lumMod val="7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17</xdr:col>
          <xdr:colOff>251460</xdr:colOff>
          <xdr:row>33</xdr:row>
          <xdr:rowOff>129540</xdr:rowOff>
        </xdr:from>
        <xdr:to>
          <xdr:col>19</xdr:col>
          <xdr:colOff>487680</xdr:colOff>
          <xdr:row>35</xdr:row>
          <xdr:rowOff>91440</xdr:rowOff>
        </xdr:to>
        <xdr:sp macro="" textlink="">
          <xdr:nvSpPr>
            <xdr:cNvPr id="4120" name="Button 24" descr="Tap to Refresh Data"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0" i="1" u="none" strike="noStrike" baseline="0">
                  <a:solidFill>
                    <a:srgbClr val="000000"/>
                  </a:solidFill>
                  <a:latin typeface="Calibri"/>
                  <a:ea typeface="Calibri"/>
                  <a:cs typeface="Calibri"/>
                </a:rPr>
                <a:t>Refresh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S singh" refreshedDate="46193.61527037037" createdVersion="8" refreshedVersion="8" minRefreshableVersion="3" recordCount="100" xr:uid="{CF284EA2-41D1-4409-BEA7-4149E02B8D56}">
  <cacheSource type="worksheet">
    <worksheetSource name="CL_Data_"/>
  </cacheSource>
  <cacheFields count="22">
    <cacheField name="Store_ID" numFmtId="0">
      <sharedItems/>
    </cacheField>
    <cacheField name="Store_Location" numFmtId="0">
      <sharedItems count="10">
        <s v="Kolkata"/>
        <s v="Ahmedabad"/>
        <s v="Jaipur"/>
        <s v="Chennai"/>
        <s v="Mumbai"/>
        <s v="Lucknow"/>
        <s v="Hyderabad"/>
        <s v="Delhi"/>
        <s v="Bengaluru"/>
        <s v="Pune"/>
      </sharedItems>
    </cacheField>
    <cacheField name="Customer_ID" numFmtId="0">
      <sharedItems count="100">
        <s v="CUST001"/>
        <s v="CUST002"/>
        <s v="CUST003"/>
        <s v="CUST004"/>
        <s v="CUST005"/>
        <s v="CUST006"/>
        <s v="CUST007"/>
        <s v="CUST008"/>
        <s v="CUST009"/>
        <s v="CUST010"/>
        <s v="CUST011"/>
        <s v="CUST012"/>
        <s v="CUST013"/>
        <s v="CUST014"/>
        <s v="CUST015"/>
        <s v="CUST016"/>
        <s v="CUST017"/>
        <s v="CUST018"/>
        <s v="CUST019"/>
        <s v="CUST020"/>
        <s v="CUST021"/>
        <s v="CUST022"/>
        <s v="CUST023"/>
        <s v="CUST024"/>
        <s v="CUST025"/>
        <s v="CUST026"/>
        <s v="CUST027"/>
        <s v="CUST028"/>
        <s v="CUST029"/>
        <s v="CUST030"/>
        <s v="CUST031"/>
        <s v="CUST032"/>
        <s v="CUST033"/>
        <s v="CUST034"/>
        <s v="CUST035"/>
        <s v="CUST036"/>
        <s v="CUST037"/>
        <s v="CUST038"/>
        <s v="CUST039"/>
        <s v="CUST040"/>
        <s v="CUST041"/>
        <s v="CUST042"/>
        <s v="CUST043"/>
        <s v="CUST044"/>
        <s v="CUST045"/>
        <s v="CUST046"/>
        <s v="CUST047"/>
        <s v="CUST048"/>
        <s v="CUST049"/>
        <s v="CUST050"/>
        <s v="CUST051"/>
        <s v="CUST052"/>
        <s v="CUST053"/>
        <s v="CUST054"/>
        <s v="CUST055"/>
        <s v="CUST056"/>
        <s v="CUST057"/>
        <s v="CUST058"/>
        <s v="CUST059"/>
        <s v="CUST060"/>
        <s v="CUST061"/>
        <s v="CUST062"/>
        <s v="CUST063"/>
        <s v="CUST064"/>
        <s v="CUST065"/>
        <s v="CUST066"/>
        <s v="CUST067"/>
        <s v="CUST068"/>
        <s v="CUST069"/>
        <s v="CUST070"/>
        <s v="CUST071"/>
        <s v="CUST072"/>
        <s v="CUST073"/>
        <s v="CUST074"/>
        <s v="CUST075"/>
        <s v="CUST076"/>
        <s v="CUST077"/>
        <s v="CUST078"/>
        <s v="CUST079"/>
        <s v="CUST080"/>
        <s v="CUST081"/>
        <s v="CUST082"/>
        <s v="CUST083"/>
        <s v="CUST084"/>
        <s v="CUST085"/>
        <s v="CUST086"/>
        <s v="CUST087"/>
        <s v="CUST088"/>
        <s v="CUST089"/>
        <s v="CUST090"/>
        <s v="CUST091"/>
        <s v="CUST092"/>
        <s v="CUST093"/>
        <s v="CUST094"/>
        <s v="CUST095"/>
        <s v="CUST096"/>
        <s v="CUST097"/>
        <s v="CUST098"/>
        <s v="CUST099"/>
        <s v="CUST100"/>
      </sharedItems>
    </cacheField>
    <cacheField name="Customer_Name" numFmtId="0">
      <sharedItems/>
    </cacheField>
    <cacheField name="Age_Group" numFmtId="0">
      <sharedItems count="4">
        <s v="46-60"/>
        <s v="26-35"/>
        <s v="36-45"/>
        <s v="18-25"/>
      </sharedItems>
    </cacheField>
    <cacheField name="Gender" numFmtId="0">
      <sharedItems count="2">
        <s v="Female"/>
        <s v="Male"/>
      </sharedItems>
    </cacheField>
    <cacheField name="Region" numFmtId="0">
      <sharedItems count="4">
        <s v="North"/>
        <s v="East"/>
        <s v="South"/>
        <s v="West"/>
      </sharedItems>
    </cacheField>
    <cacheField name="Product_Category" numFmtId="0">
      <sharedItems count="4">
        <s v="Clothing"/>
        <s v="Electronics"/>
        <s v="Furniture"/>
        <s v="Books"/>
      </sharedItems>
    </cacheField>
    <cacheField name="Product_Name" numFmtId="0">
      <sharedItems count="16">
        <s v="Shirt"/>
        <s v="Headphones"/>
        <s v="Dress"/>
        <s v="Bed"/>
        <s v="Smartphone"/>
        <s v="Textbook"/>
        <s v="Novel"/>
        <s v="Sofa"/>
        <s v="Tablet"/>
        <s v="Magazine"/>
        <s v="Chair"/>
        <s v="Laptop"/>
        <s v="Comics"/>
        <s v="Jeans"/>
        <s v="Table"/>
        <s v="Jacket"/>
      </sharedItems>
    </cacheField>
    <cacheField name="Quantity" numFmtId="0">
      <sharedItems containsSemiMixedTypes="0" containsString="0" containsNumber="1" containsInteger="1" minValue="1" maxValue="10"/>
    </cacheField>
    <cacheField name="Unit_Price" numFmtId="0">
      <sharedItems containsSemiMixedTypes="0" containsString="0" containsNumber="1" minValue="13.16" maxValue="490.93"/>
    </cacheField>
    <cacheField name="Discount" numFmtId="0">
      <sharedItems containsSemiMixedTypes="0" containsString="0" containsNumber="1" minValue="0" maxValue="0.3"/>
    </cacheField>
    <cacheField name="Total_Sales_Value" numFmtId="0">
      <sharedItems containsSemiMixedTypes="0" containsString="0" containsNumber="1" minValue="56.67" maxValue="3856.57"/>
    </cacheField>
    <cacheField name="Profit" numFmtId="0">
      <sharedItems containsSemiMixedTypes="0" containsString="0" containsNumber="1" minValue="8.9" maxValue="796.03"/>
    </cacheField>
    <cacheField name="Order_Date" numFmtId="14">
      <sharedItems containsSemiMixedTypes="0" containsNonDate="0" containsDate="1" containsString="0" minDate="2024-12-16T00:00:00" maxDate="2025-12-09T00:00:00"/>
    </cacheField>
    <cacheField name="Year" numFmtId="0">
      <sharedItems containsSemiMixedTypes="0" containsString="0" containsNumber="1" containsInteger="1" minValue="2024" maxValue="2025" count="2">
        <n v="2025"/>
        <n v="2024"/>
      </sharedItems>
    </cacheField>
    <cacheField name="Month" numFmtId="0">
      <sharedItems containsSemiMixedTypes="0" containsString="0" containsNumber="1" containsInteger="1" minValue="1" maxValue="12"/>
    </cacheField>
    <cacheField name="Month Name" numFmtId="0">
      <sharedItems count="12">
        <s v="October"/>
        <s v="August"/>
        <s v="May"/>
        <s v="March"/>
        <s v="January"/>
        <s v="June"/>
        <s v="November"/>
        <s v="April"/>
        <s v="July"/>
        <s v="September"/>
        <s v="December"/>
        <s v="February"/>
      </sharedItems>
    </cacheField>
    <cacheField name="Quarter" numFmtId="0">
      <sharedItems containsSemiMixedTypes="0" containsString="0" containsNumber="1" containsInteger="1" minValue="1" maxValue="4"/>
    </cacheField>
    <cacheField name="Week of Month" numFmtId="0">
      <sharedItems containsSemiMixedTypes="0" containsString="0" containsNumber="1" containsInteger="1" minValue="1" maxValue="5"/>
    </cacheField>
    <cacheField name="Day of Week" numFmtId="0">
      <sharedItems containsSemiMixedTypes="0" containsString="0" containsNumber="1" containsInteger="1" minValue="0" maxValue="6"/>
    </cacheField>
    <cacheField name="Day Name" numFmtId="0">
      <sharedItems/>
    </cacheField>
  </cacheFields>
  <extLst>
    <ext xmlns:x14="http://schemas.microsoft.com/office/spreadsheetml/2009/9/main" uri="{725AE2AE-9491-48be-B2B4-4EB974FC3084}">
      <x14:pivotCacheDefinition pivotCacheId="17839650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S singh" refreshedDate="46193.762161458333" createdVersion="8" refreshedVersion="8" minRefreshableVersion="3" recordCount="100" xr:uid="{43E951E3-1254-4AE0-8E23-D992A19E97CD}">
  <cacheSource type="worksheet">
    <worksheetSource name="CL_Data"/>
  </cacheSource>
  <cacheFields count="15">
    <cacheField name="Store_ID" numFmtId="0">
      <sharedItems/>
    </cacheField>
    <cacheField name="Store_Location" numFmtId="0">
      <sharedItems/>
    </cacheField>
    <cacheField name="Customer_ID" numFmtId="0">
      <sharedItems/>
    </cacheField>
    <cacheField name="Customer_Name" numFmtId="0">
      <sharedItems/>
    </cacheField>
    <cacheField name="Age_Group" numFmtId="0">
      <sharedItems/>
    </cacheField>
    <cacheField name="Gender" numFmtId="0">
      <sharedItems/>
    </cacheField>
    <cacheField name="Region" numFmtId="0">
      <sharedItems/>
    </cacheField>
    <cacheField name="Product_Category" numFmtId="0">
      <sharedItems/>
    </cacheField>
    <cacheField name="Product_Name" numFmtId="0">
      <sharedItems count="16">
        <s v="Shirt"/>
        <s v="Headphones"/>
        <s v="Dress"/>
        <s v="Bed"/>
        <s v="Smartphone"/>
        <s v="Textbook"/>
        <s v="Novel"/>
        <s v="Sofa"/>
        <s v="Tablet"/>
        <s v="Magazine"/>
        <s v="Chair"/>
        <s v="Laptop"/>
        <s v="Comics"/>
        <s v="Jeans"/>
        <s v="Table"/>
        <s v="Jacket"/>
      </sharedItems>
    </cacheField>
    <cacheField name="Order_Date" numFmtId="0">
      <sharedItems containsDate="1" containsMixedTypes="1" minDate="2025-01-06T00:00:00" maxDate="2025-12-11T00:00:00"/>
    </cacheField>
    <cacheField name="Quantity" numFmtId="0">
      <sharedItems containsSemiMixedTypes="0" containsString="0" containsNumber="1" containsInteger="1" minValue="1" maxValue="10"/>
    </cacheField>
    <cacheField name="Unit_Price" numFmtId="0">
      <sharedItems containsSemiMixedTypes="0" containsString="0" containsNumber="1" minValue="13.16" maxValue="490.93"/>
    </cacheField>
    <cacheField name="Discount" numFmtId="0">
      <sharedItems containsSemiMixedTypes="0" containsString="0" containsNumber="1" minValue="0" maxValue="0.3"/>
    </cacheField>
    <cacheField name="Total_Sales_Value" numFmtId="0">
      <sharedItems containsSemiMixedTypes="0" containsString="0" containsNumber="1" minValue="56.67" maxValue="3856.57"/>
    </cacheField>
    <cacheField name="Profit" numFmtId="0">
      <sharedItems containsSemiMixedTypes="0" containsString="0" containsNumber="1" minValue="8.9" maxValue="796.0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STR001"/>
    <x v="0"/>
    <x v="0"/>
    <s v="George"/>
    <x v="0"/>
    <x v="0"/>
    <x v="0"/>
    <x v="0"/>
    <x v="0"/>
    <n v="9"/>
    <n v="435.39"/>
    <n v="0.03"/>
    <n v="3800.95"/>
    <n v="755.43"/>
    <d v="2025-10-16T00:00:00"/>
    <x v="0"/>
    <n v="10"/>
    <x v="0"/>
    <n v="4"/>
    <n v="3"/>
    <n v="4"/>
    <s v="Thursday"/>
  </r>
  <r>
    <s v="STR001"/>
    <x v="0"/>
    <x v="1"/>
    <s v="George"/>
    <x v="1"/>
    <x v="0"/>
    <x v="1"/>
    <x v="1"/>
    <x v="1"/>
    <n v="5"/>
    <n v="230.61"/>
    <n v="0.12"/>
    <n v="1014.68"/>
    <n v="164.5"/>
    <d v="2025-08-08T00:00:00"/>
    <x v="0"/>
    <n v="8"/>
    <x v="1"/>
    <n v="3"/>
    <n v="2"/>
    <n v="5"/>
    <s v="Friday"/>
  </r>
  <r>
    <s v="STR008"/>
    <x v="1"/>
    <x v="2"/>
    <s v="Ian"/>
    <x v="0"/>
    <x v="1"/>
    <x v="0"/>
    <x v="0"/>
    <x v="2"/>
    <n v="10"/>
    <n v="266.47000000000003"/>
    <n v="0.06"/>
    <n v="2504.8200000000002"/>
    <n v="701.1"/>
    <d v="2025-10-20T00:00:00"/>
    <x v="0"/>
    <n v="10"/>
    <x v="0"/>
    <n v="4"/>
    <n v="4"/>
    <n v="1"/>
    <s v="Monday"/>
  </r>
  <r>
    <s v="STR008"/>
    <x v="1"/>
    <x v="3"/>
    <s v="Fiona"/>
    <x v="0"/>
    <x v="0"/>
    <x v="0"/>
    <x v="2"/>
    <x v="3"/>
    <n v="5"/>
    <n v="468.31"/>
    <n v="7.0000000000000007E-2"/>
    <n v="2177.64"/>
    <n v="341.03"/>
    <d v="2025-05-08T00:00:00"/>
    <x v="0"/>
    <n v="5"/>
    <x v="2"/>
    <n v="2"/>
    <n v="2"/>
    <n v="4"/>
    <s v="Thursday"/>
  </r>
  <r>
    <s v="STR009"/>
    <x v="2"/>
    <x v="4"/>
    <s v="Ian"/>
    <x v="2"/>
    <x v="0"/>
    <x v="0"/>
    <x v="1"/>
    <x v="4"/>
    <n v="7"/>
    <n v="157.53"/>
    <n v="0.18"/>
    <n v="904.22"/>
    <n v="143.72"/>
    <d v="2025-08-07T00:00:00"/>
    <x v="0"/>
    <n v="8"/>
    <x v="1"/>
    <n v="3"/>
    <n v="2"/>
    <n v="4"/>
    <s v="Thursday"/>
  </r>
  <r>
    <s v="STR005"/>
    <x v="3"/>
    <x v="5"/>
    <s v="Ethan"/>
    <x v="1"/>
    <x v="0"/>
    <x v="2"/>
    <x v="3"/>
    <x v="5"/>
    <n v="6"/>
    <n v="13.16"/>
    <n v="0.24"/>
    <n v="60.01"/>
    <n v="16.48"/>
    <d v="2025-03-09T00:00:00"/>
    <x v="0"/>
    <n v="3"/>
    <x v="3"/>
    <n v="1"/>
    <n v="3"/>
    <n v="0"/>
    <s v="Sunday"/>
  </r>
  <r>
    <s v="STR002"/>
    <x v="4"/>
    <x v="6"/>
    <s v="George"/>
    <x v="2"/>
    <x v="0"/>
    <x v="3"/>
    <x v="3"/>
    <x v="6"/>
    <n v="2"/>
    <n v="182.16"/>
    <n v="0.11"/>
    <n v="324.24"/>
    <n v="73.989999999999995"/>
    <d v="2025-01-04T00:00:00"/>
    <x v="0"/>
    <n v="1"/>
    <x v="4"/>
    <n v="1"/>
    <n v="1"/>
    <n v="6"/>
    <s v="Saturday"/>
  </r>
  <r>
    <s v="STR010"/>
    <x v="5"/>
    <x v="7"/>
    <s v="Julia"/>
    <x v="2"/>
    <x v="1"/>
    <x v="1"/>
    <x v="3"/>
    <x v="5"/>
    <n v="6"/>
    <n v="336.11"/>
    <n v="0.19"/>
    <n v="1633.49"/>
    <n v="485.5"/>
    <d v="2025-06-12T00:00:00"/>
    <x v="0"/>
    <n v="6"/>
    <x v="5"/>
    <n v="2"/>
    <n v="2"/>
    <n v="4"/>
    <s v="Thursday"/>
  </r>
  <r>
    <s v="STR006"/>
    <x v="6"/>
    <x v="8"/>
    <s v="Charlie"/>
    <x v="1"/>
    <x v="1"/>
    <x v="0"/>
    <x v="2"/>
    <x v="7"/>
    <n v="6"/>
    <n v="368.29"/>
    <n v="0.17"/>
    <n v="1834.08"/>
    <n v="535.04999999999995"/>
    <d v="2025-05-29T00:00:00"/>
    <x v="0"/>
    <n v="5"/>
    <x v="2"/>
    <n v="2"/>
    <n v="5"/>
    <n v="4"/>
    <s v="Thursday"/>
  </r>
  <r>
    <s v="STR009"/>
    <x v="2"/>
    <x v="9"/>
    <s v="Alice"/>
    <x v="3"/>
    <x v="1"/>
    <x v="2"/>
    <x v="0"/>
    <x v="0"/>
    <n v="4"/>
    <n v="122.6"/>
    <n v="0.04"/>
    <n v="470.78"/>
    <n v="48.57"/>
    <d v="2025-01-17T00:00:00"/>
    <x v="0"/>
    <n v="1"/>
    <x v="4"/>
    <n v="1"/>
    <n v="3"/>
    <n v="5"/>
    <s v="Friday"/>
  </r>
  <r>
    <s v="STR005"/>
    <x v="3"/>
    <x v="10"/>
    <s v="Ian"/>
    <x v="2"/>
    <x v="1"/>
    <x v="1"/>
    <x v="1"/>
    <x v="8"/>
    <n v="8"/>
    <n v="32.43"/>
    <n v="0.06"/>
    <n v="243.87"/>
    <n v="61.81"/>
    <d v="2025-01-10T00:00:00"/>
    <x v="0"/>
    <n v="1"/>
    <x v="4"/>
    <n v="1"/>
    <n v="2"/>
    <n v="5"/>
    <s v="Friday"/>
  </r>
  <r>
    <s v="STR006"/>
    <x v="6"/>
    <x v="11"/>
    <s v="George"/>
    <x v="1"/>
    <x v="0"/>
    <x v="0"/>
    <x v="2"/>
    <x v="3"/>
    <n v="5"/>
    <n v="216.1"/>
    <n v="0.06"/>
    <n v="1015.67"/>
    <n v="186.09"/>
    <d v="2025-11-19T00:00:00"/>
    <x v="0"/>
    <n v="11"/>
    <x v="6"/>
    <n v="4"/>
    <n v="4"/>
    <n v="3"/>
    <s v="Wednesday"/>
  </r>
  <r>
    <s v="STR006"/>
    <x v="6"/>
    <x v="12"/>
    <s v="Fiona"/>
    <x v="1"/>
    <x v="1"/>
    <x v="0"/>
    <x v="3"/>
    <x v="9"/>
    <n v="5"/>
    <n v="397.94"/>
    <n v="0.1"/>
    <n v="1790.73"/>
    <n v="358.1"/>
    <d v="2025-03-21T00:00:00"/>
    <x v="0"/>
    <n v="3"/>
    <x v="3"/>
    <n v="1"/>
    <n v="4"/>
    <n v="5"/>
    <s v="Friday"/>
  </r>
  <r>
    <s v="STR003"/>
    <x v="7"/>
    <x v="13"/>
    <s v="Ian"/>
    <x v="0"/>
    <x v="1"/>
    <x v="1"/>
    <x v="3"/>
    <x v="6"/>
    <n v="9"/>
    <n v="172.3"/>
    <n v="0.21"/>
    <n v="1225.05"/>
    <n v="219.46"/>
    <d v="2025-05-08T00:00:00"/>
    <x v="0"/>
    <n v="5"/>
    <x v="2"/>
    <n v="2"/>
    <n v="2"/>
    <n v="4"/>
    <s v="Thursday"/>
  </r>
  <r>
    <s v="STR005"/>
    <x v="3"/>
    <x v="14"/>
    <s v="Hannah"/>
    <x v="1"/>
    <x v="0"/>
    <x v="1"/>
    <x v="0"/>
    <x v="0"/>
    <n v="5"/>
    <n v="132.35"/>
    <n v="0.16"/>
    <n v="555.87"/>
    <n v="68.84"/>
    <d v="2025-01-05T00:00:00"/>
    <x v="0"/>
    <n v="1"/>
    <x v="4"/>
    <n v="1"/>
    <n v="2"/>
    <n v="0"/>
    <s v="Sunday"/>
  </r>
  <r>
    <s v="STR005"/>
    <x v="3"/>
    <x v="15"/>
    <s v="Julia"/>
    <x v="3"/>
    <x v="1"/>
    <x v="0"/>
    <x v="2"/>
    <x v="7"/>
    <n v="8"/>
    <n v="351.93"/>
    <n v="0"/>
    <n v="2815.44"/>
    <n v="715.77"/>
    <d v="2025-10-12T00:00:00"/>
    <x v="0"/>
    <n v="10"/>
    <x v="0"/>
    <n v="4"/>
    <n v="3"/>
    <n v="0"/>
    <s v="Sunday"/>
  </r>
  <r>
    <s v="STR008"/>
    <x v="1"/>
    <x v="16"/>
    <s v="Julia"/>
    <x v="2"/>
    <x v="0"/>
    <x v="2"/>
    <x v="2"/>
    <x v="10"/>
    <n v="7"/>
    <n v="62.71"/>
    <n v="0.03"/>
    <n v="425.8"/>
    <n v="119.37"/>
    <d v="2025-04-06T00:00:00"/>
    <x v="0"/>
    <n v="4"/>
    <x v="7"/>
    <n v="2"/>
    <n v="2"/>
    <n v="0"/>
    <s v="Sunday"/>
  </r>
  <r>
    <s v="STR002"/>
    <x v="4"/>
    <x v="17"/>
    <s v="Ethan"/>
    <x v="0"/>
    <x v="1"/>
    <x v="3"/>
    <x v="1"/>
    <x v="4"/>
    <n v="8"/>
    <n v="318.63"/>
    <n v="0.23"/>
    <n v="1962.76"/>
    <n v="274.44"/>
    <d v="2025-07-02T00:00:00"/>
    <x v="0"/>
    <n v="7"/>
    <x v="8"/>
    <n v="3"/>
    <n v="1"/>
    <n v="3"/>
    <s v="Wednesday"/>
  </r>
  <r>
    <s v="STR003"/>
    <x v="7"/>
    <x v="18"/>
    <s v="Charlie"/>
    <x v="0"/>
    <x v="0"/>
    <x v="3"/>
    <x v="0"/>
    <x v="2"/>
    <n v="4"/>
    <n v="392.4"/>
    <n v="0.11"/>
    <n v="1396.94"/>
    <n v="231.43"/>
    <d v="2025-11-01T00:00:00"/>
    <x v="0"/>
    <n v="11"/>
    <x v="6"/>
    <n v="4"/>
    <n v="1"/>
    <n v="6"/>
    <s v="Saturday"/>
  </r>
  <r>
    <s v="STR006"/>
    <x v="6"/>
    <x v="19"/>
    <s v="Ian"/>
    <x v="0"/>
    <x v="1"/>
    <x v="3"/>
    <x v="3"/>
    <x v="9"/>
    <n v="1"/>
    <n v="117.41"/>
    <n v="0.13"/>
    <n v="102.15"/>
    <n v="24.6"/>
    <d v="2025-06-09T00:00:00"/>
    <x v="0"/>
    <n v="6"/>
    <x v="5"/>
    <n v="2"/>
    <n v="2"/>
    <n v="1"/>
    <s v="Monday"/>
  </r>
  <r>
    <s v="STR004"/>
    <x v="8"/>
    <x v="20"/>
    <s v="Fiona"/>
    <x v="3"/>
    <x v="1"/>
    <x v="0"/>
    <x v="1"/>
    <x v="11"/>
    <n v="8"/>
    <n v="42.69"/>
    <n v="0.03"/>
    <n v="331.27"/>
    <n v="89.83"/>
    <d v="2025-11-26T00:00:00"/>
    <x v="0"/>
    <n v="11"/>
    <x v="6"/>
    <n v="4"/>
    <n v="5"/>
    <n v="3"/>
    <s v="Wednesday"/>
  </r>
  <r>
    <s v="STR008"/>
    <x v="1"/>
    <x v="21"/>
    <s v="George"/>
    <x v="2"/>
    <x v="0"/>
    <x v="1"/>
    <x v="2"/>
    <x v="3"/>
    <n v="5"/>
    <n v="383.34"/>
    <n v="0.01"/>
    <n v="1897.53"/>
    <n v="434.87"/>
    <d v="2025-01-02T00:00:00"/>
    <x v="0"/>
    <n v="1"/>
    <x v="4"/>
    <n v="1"/>
    <n v="1"/>
    <n v="4"/>
    <s v="Thursday"/>
  </r>
  <r>
    <s v="STR004"/>
    <x v="8"/>
    <x v="22"/>
    <s v="Ian"/>
    <x v="3"/>
    <x v="0"/>
    <x v="1"/>
    <x v="0"/>
    <x v="0"/>
    <n v="2"/>
    <n v="429.03"/>
    <n v="0.22"/>
    <n v="669.29"/>
    <n v="163.41999999999999"/>
    <d v="2025-01-09T00:00:00"/>
    <x v="0"/>
    <n v="1"/>
    <x v="4"/>
    <n v="1"/>
    <n v="2"/>
    <n v="4"/>
    <s v="Thursday"/>
  </r>
  <r>
    <s v="STR009"/>
    <x v="2"/>
    <x v="23"/>
    <s v="George"/>
    <x v="2"/>
    <x v="1"/>
    <x v="0"/>
    <x v="0"/>
    <x v="0"/>
    <n v="5"/>
    <n v="401"/>
    <n v="0.27"/>
    <n v="1463.65"/>
    <n v="408.93"/>
    <d v="2025-11-05T00:00:00"/>
    <x v="0"/>
    <n v="11"/>
    <x v="6"/>
    <n v="4"/>
    <n v="2"/>
    <n v="3"/>
    <s v="Wednesday"/>
  </r>
  <r>
    <s v="STR010"/>
    <x v="5"/>
    <x v="24"/>
    <s v="Ian"/>
    <x v="1"/>
    <x v="1"/>
    <x v="1"/>
    <x v="1"/>
    <x v="8"/>
    <n v="2"/>
    <n v="306.52"/>
    <n v="0.24"/>
    <n v="465.91"/>
    <n v="82.52"/>
    <d v="2025-07-10T00:00:00"/>
    <x v="0"/>
    <n v="7"/>
    <x v="8"/>
    <n v="3"/>
    <n v="2"/>
    <n v="4"/>
    <s v="Thursday"/>
  </r>
  <r>
    <s v="STR010"/>
    <x v="5"/>
    <x v="25"/>
    <s v="Alice"/>
    <x v="2"/>
    <x v="0"/>
    <x v="3"/>
    <x v="3"/>
    <x v="5"/>
    <n v="5"/>
    <n v="257.36"/>
    <n v="0.03"/>
    <n v="1248.2"/>
    <n v="343.41"/>
    <d v="2025-03-23T00:00:00"/>
    <x v="0"/>
    <n v="3"/>
    <x v="3"/>
    <n v="1"/>
    <n v="5"/>
    <n v="0"/>
    <s v="Sunday"/>
  </r>
  <r>
    <s v="STR001"/>
    <x v="0"/>
    <x v="26"/>
    <s v="Ethan"/>
    <x v="0"/>
    <x v="0"/>
    <x v="1"/>
    <x v="1"/>
    <x v="1"/>
    <n v="10"/>
    <n v="359.64"/>
    <n v="0.22"/>
    <n v="2805.19"/>
    <n v="657.05"/>
    <d v="2025-03-12T00:00:00"/>
    <x v="0"/>
    <n v="3"/>
    <x v="3"/>
    <n v="1"/>
    <n v="3"/>
    <n v="3"/>
    <s v="Wednesday"/>
  </r>
  <r>
    <s v="STR006"/>
    <x v="6"/>
    <x v="27"/>
    <s v="Ethan"/>
    <x v="1"/>
    <x v="1"/>
    <x v="1"/>
    <x v="3"/>
    <x v="5"/>
    <n v="5"/>
    <n v="234.86"/>
    <n v="0"/>
    <n v="1174.3"/>
    <n v="308.18"/>
    <d v="2025-10-17T00:00:00"/>
    <x v="0"/>
    <n v="10"/>
    <x v="0"/>
    <n v="4"/>
    <n v="3"/>
    <n v="5"/>
    <s v="Friday"/>
  </r>
  <r>
    <s v="STR001"/>
    <x v="0"/>
    <x v="28"/>
    <s v="Charlie"/>
    <x v="3"/>
    <x v="0"/>
    <x v="1"/>
    <x v="1"/>
    <x v="1"/>
    <n v="2"/>
    <n v="104.22"/>
    <n v="0.09"/>
    <n v="189.68"/>
    <n v="56.65"/>
    <d v="2025-01-14T00:00:00"/>
    <x v="0"/>
    <n v="1"/>
    <x v="4"/>
    <n v="1"/>
    <n v="3"/>
    <n v="2"/>
    <s v="Tuesday"/>
  </r>
  <r>
    <s v="STR008"/>
    <x v="1"/>
    <x v="29"/>
    <s v="Diana"/>
    <x v="3"/>
    <x v="1"/>
    <x v="0"/>
    <x v="1"/>
    <x v="8"/>
    <n v="2"/>
    <n v="358.17"/>
    <n v="0.16"/>
    <n v="601.73"/>
    <n v="171.2"/>
    <d v="2025-08-25T00:00:00"/>
    <x v="0"/>
    <n v="8"/>
    <x v="1"/>
    <n v="3"/>
    <n v="5"/>
    <n v="1"/>
    <s v="Monday"/>
  </r>
  <r>
    <s v="STR007"/>
    <x v="9"/>
    <x v="30"/>
    <s v="Charlie"/>
    <x v="3"/>
    <x v="0"/>
    <x v="1"/>
    <x v="3"/>
    <x v="12"/>
    <n v="5"/>
    <n v="387.61"/>
    <n v="0.13"/>
    <n v="1686.1"/>
    <n v="258.93"/>
    <d v="2025-09-06T00:00:00"/>
    <x v="0"/>
    <n v="9"/>
    <x v="9"/>
    <n v="3"/>
    <n v="1"/>
    <n v="6"/>
    <s v="Saturday"/>
  </r>
  <r>
    <s v="STR009"/>
    <x v="2"/>
    <x v="31"/>
    <s v="Diana"/>
    <x v="1"/>
    <x v="1"/>
    <x v="2"/>
    <x v="2"/>
    <x v="10"/>
    <n v="10"/>
    <n v="476.12"/>
    <n v="0.19"/>
    <n v="3856.57"/>
    <n v="414.77"/>
    <d v="2025-11-20T00:00:00"/>
    <x v="0"/>
    <n v="11"/>
    <x v="6"/>
    <n v="4"/>
    <n v="4"/>
    <n v="4"/>
    <s v="Thursday"/>
  </r>
  <r>
    <s v="STR003"/>
    <x v="7"/>
    <x v="32"/>
    <s v="Fiona"/>
    <x v="1"/>
    <x v="0"/>
    <x v="3"/>
    <x v="0"/>
    <x v="13"/>
    <n v="4"/>
    <n v="181.1"/>
    <n v="0.27"/>
    <n v="528.80999999999995"/>
    <n v="157"/>
    <d v="2025-09-03T00:00:00"/>
    <x v="0"/>
    <n v="9"/>
    <x v="9"/>
    <n v="3"/>
    <n v="1"/>
    <n v="3"/>
    <s v="Wednesday"/>
  </r>
  <r>
    <s v="STR010"/>
    <x v="5"/>
    <x v="33"/>
    <s v="Hannah"/>
    <x v="0"/>
    <x v="0"/>
    <x v="3"/>
    <x v="2"/>
    <x v="14"/>
    <n v="2"/>
    <n v="305.24"/>
    <n v="0.22"/>
    <n v="476.17"/>
    <n v="121.85"/>
    <d v="2025-07-23T00:00:00"/>
    <x v="0"/>
    <n v="7"/>
    <x v="8"/>
    <n v="3"/>
    <n v="4"/>
    <n v="3"/>
    <s v="Wednesday"/>
  </r>
  <r>
    <s v="STR007"/>
    <x v="9"/>
    <x v="34"/>
    <s v="Alice"/>
    <x v="0"/>
    <x v="1"/>
    <x v="0"/>
    <x v="1"/>
    <x v="8"/>
    <n v="6"/>
    <n v="87.29"/>
    <n v="0.25"/>
    <n v="392.81"/>
    <n v="89.2"/>
    <d v="2025-03-08T00:00:00"/>
    <x v="0"/>
    <n v="3"/>
    <x v="3"/>
    <n v="1"/>
    <n v="2"/>
    <n v="6"/>
    <s v="Saturday"/>
  </r>
  <r>
    <s v="STR006"/>
    <x v="6"/>
    <x v="35"/>
    <s v="Ian"/>
    <x v="0"/>
    <x v="0"/>
    <x v="2"/>
    <x v="2"/>
    <x v="14"/>
    <n v="3"/>
    <n v="39.24"/>
    <n v="0.26"/>
    <n v="87.11"/>
    <n v="22.36"/>
    <d v="2025-10-09T00:00:00"/>
    <x v="0"/>
    <n v="10"/>
    <x v="0"/>
    <n v="4"/>
    <n v="2"/>
    <n v="4"/>
    <s v="Thursday"/>
  </r>
  <r>
    <s v="STR008"/>
    <x v="1"/>
    <x v="36"/>
    <s v="Diana"/>
    <x v="1"/>
    <x v="1"/>
    <x v="0"/>
    <x v="0"/>
    <x v="13"/>
    <n v="6"/>
    <n v="427.97"/>
    <n v="0.26"/>
    <n v="1900.19"/>
    <n v="405.11"/>
    <d v="2025-07-11T00:00:00"/>
    <x v="0"/>
    <n v="7"/>
    <x v="8"/>
    <n v="3"/>
    <n v="2"/>
    <n v="5"/>
    <s v="Friday"/>
  </r>
  <r>
    <s v="STR009"/>
    <x v="2"/>
    <x v="37"/>
    <s v="Charlie"/>
    <x v="0"/>
    <x v="1"/>
    <x v="2"/>
    <x v="1"/>
    <x v="11"/>
    <n v="6"/>
    <n v="368.97"/>
    <n v="0.12"/>
    <n v="1948.16"/>
    <n v="344.85"/>
    <d v="2024-12-16T00:00:00"/>
    <x v="1"/>
    <n v="12"/>
    <x v="10"/>
    <n v="4"/>
    <n v="3"/>
    <n v="1"/>
    <s v="Monday"/>
  </r>
  <r>
    <s v="STR009"/>
    <x v="2"/>
    <x v="38"/>
    <s v="Ian"/>
    <x v="2"/>
    <x v="1"/>
    <x v="1"/>
    <x v="2"/>
    <x v="14"/>
    <n v="3"/>
    <n v="269.69"/>
    <n v="0.1"/>
    <n v="728.16"/>
    <n v="73.67"/>
    <d v="2025-10-15T00:00:00"/>
    <x v="0"/>
    <n v="10"/>
    <x v="0"/>
    <n v="4"/>
    <n v="3"/>
    <n v="3"/>
    <s v="Wednesday"/>
  </r>
  <r>
    <s v="STR010"/>
    <x v="5"/>
    <x v="39"/>
    <s v="Charlie"/>
    <x v="0"/>
    <x v="0"/>
    <x v="0"/>
    <x v="1"/>
    <x v="1"/>
    <n v="2"/>
    <n v="209.36"/>
    <n v="0.13"/>
    <n v="364.29"/>
    <n v="92.43"/>
    <d v="2024-12-24T00:00:00"/>
    <x v="1"/>
    <n v="12"/>
    <x v="10"/>
    <n v="4"/>
    <n v="4"/>
    <n v="2"/>
    <s v="Tuesday"/>
  </r>
  <r>
    <s v="STR002"/>
    <x v="4"/>
    <x v="40"/>
    <s v="Ian"/>
    <x v="3"/>
    <x v="0"/>
    <x v="2"/>
    <x v="3"/>
    <x v="12"/>
    <n v="9"/>
    <n v="415.59"/>
    <n v="0.28999999999999998"/>
    <n v="2655.62"/>
    <n v="745.86"/>
    <d v="2025-06-20T00:00:00"/>
    <x v="0"/>
    <n v="6"/>
    <x v="5"/>
    <n v="2"/>
    <n v="3"/>
    <n v="5"/>
    <s v="Friday"/>
  </r>
  <r>
    <s v="STR009"/>
    <x v="2"/>
    <x v="41"/>
    <s v="Fiona"/>
    <x v="3"/>
    <x v="0"/>
    <x v="2"/>
    <x v="0"/>
    <x v="13"/>
    <n v="3"/>
    <n v="430.83"/>
    <n v="0.18"/>
    <n v="1059.8399999999999"/>
    <n v="169.85"/>
    <d v="2024-12-19T00:00:00"/>
    <x v="1"/>
    <n v="12"/>
    <x v="10"/>
    <n v="4"/>
    <n v="3"/>
    <n v="4"/>
    <s v="Thursday"/>
  </r>
  <r>
    <s v="STR001"/>
    <x v="0"/>
    <x v="42"/>
    <s v="Ethan"/>
    <x v="1"/>
    <x v="1"/>
    <x v="3"/>
    <x v="0"/>
    <x v="2"/>
    <n v="6"/>
    <n v="127.51"/>
    <n v="7.0000000000000007E-2"/>
    <n v="711.51"/>
    <n v="202.83"/>
    <d v="2025-08-07T00:00:00"/>
    <x v="0"/>
    <n v="8"/>
    <x v="1"/>
    <n v="3"/>
    <n v="2"/>
    <n v="4"/>
    <s v="Thursday"/>
  </r>
  <r>
    <s v="STR007"/>
    <x v="9"/>
    <x v="43"/>
    <s v="Diana"/>
    <x v="1"/>
    <x v="0"/>
    <x v="3"/>
    <x v="0"/>
    <x v="2"/>
    <n v="2"/>
    <n v="193.77"/>
    <n v="0.03"/>
    <n v="375.91"/>
    <n v="73.86"/>
    <d v="2025-09-09T00:00:00"/>
    <x v="0"/>
    <n v="9"/>
    <x v="9"/>
    <n v="3"/>
    <n v="2"/>
    <n v="2"/>
    <s v="Tuesday"/>
  </r>
  <r>
    <s v="STR005"/>
    <x v="3"/>
    <x v="44"/>
    <s v="Bob"/>
    <x v="2"/>
    <x v="0"/>
    <x v="1"/>
    <x v="2"/>
    <x v="3"/>
    <n v="2"/>
    <n v="296.02"/>
    <n v="7.0000000000000007E-2"/>
    <n v="550.6"/>
    <n v="163.25"/>
    <d v="2025-03-06T00:00:00"/>
    <x v="0"/>
    <n v="3"/>
    <x v="3"/>
    <n v="1"/>
    <n v="2"/>
    <n v="4"/>
    <s v="Thursday"/>
  </r>
  <r>
    <s v="STR009"/>
    <x v="2"/>
    <x v="45"/>
    <s v="Julia"/>
    <x v="1"/>
    <x v="1"/>
    <x v="1"/>
    <x v="3"/>
    <x v="9"/>
    <n v="3"/>
    <n v="245.36"/>
    <n v="0.08"/>
    <n v="677.19"/>
    <n v="140.08000000000001"/>
    <d v="2025-09-18T00:00:00"/>
    <x v="0"/>
    <n v="9"/>
    <x v="9"/>
    <n v="3"/>
    <n v="3"/>
    <n v="4"/>
    <s v="Thursday"/>
  </r>
  <r>
    <s v="STR002"/>
    <x v="4"/>
    <x v="46"/>
    <s v="Charlie"/>
    <x v="3"/>
    <x v="1"/>
    <x v="0"/>
    <x v="2"/>
    <x v="3"/>
    <n v="3"/>
    <n v="44.81"/>
    <n v="0.2"/>
    <n v="107.54"/>
    <n v="31.74"/>
    <d v="2025-06-09T00:00:00"/>
    <x v="0"/>
    <n v="6"/>
    <x v="5"/>
    <n v="2"/>
    <n v="2"/>
    <n v="1"/>
    <s v="Monday"/>
  </r>
  <r>
    <s v="STR006"/>
    <x v="6"/>
    <x v="47"/>
    <s v="Julia"/>
    <x v="3"/>
    <x v="1"/>
    <x v="3"/>
    <x v="2"/>
    <x v="7"/>
    <n v="10"/>
    <n v="473.74"/>
    <n v="0.23"/>
    <n v="3647.8"/>
    <n v="415.81"/>
    <d v="2025-09-12T00:00:00"/>
    <x v="0"/>
    <n v="9"/>
    <x v="9"/>
    <n v="3"/>
    <n v="2"/>
    <n v="5"/>
    <s v="Friday"/>
  </r>
  <r>
    <s v="STR006"/>
    <x v="6"/>
    <x v="48"/>
    <s v="George"/>
    <x v="2"/>
    <x v="1"/>
    <x v="0"/>
    <x v="2"/>
    <x v="3"/>
    <n v="3"/>
    <n v="190.38"/>
    <n v="0.21"/>
    <n v="451.2"/>
    <n v="84.65"/>
    <d v="2025-06-28T00:00:00"/>
    <x v="0"/>
    <n v="6"/>
    <x v="5"/>
    <n v="2"/>
    <n v="4"/>
    <n v="6"/>
    <s v="Saturday"/>
  </r>
  <r>
    <s v="STR009"/>
    <x v="2"/>
    <x v="49"/>
    <s v="Fiona"/>
    <x v="2"/>
    <x v="1"/>
    <x v="2"/>
    <x v="1"/>
    <x v="1"/>
    <n v="4"/>
    <n v="338.27"/>
    <n v="0.18"/>
    <n v="1109.53"/>
    <n v="130.6"/>
    <d v="2025-08-28T00:00:00"/>
    <x v="0"/>
    <n v="8"/>
    <x v="1"/>
    <n v="3"/>
    <n v="5"/>
    <n v="4"/>
    <s v="Thursday"/>
  </r>
  <r>
    <s v="STR009"/>
    <x v="2"/>
    <x v="50"/>
    <s v="Bob"/>
    <x v="2"/>
    <x v="1"/>
    <x v="2"/>
    <x v="2"/>
    <x v="10"/>
    <n v="5"/>
    <n v="101.23"/>
    <n v="0.21"/>
    <n v="399.86"/>
    <n v="71.760000000000005"/>
    <d v="2025-03-24T00:00:00"/>
    <x v="0"/>
    <n v="3"/>
    <x v="3"/>
    <n v="1"/>
    <n v="5"/>
    <n v="1"/>
    <s v="Monday"/>
  </r>
  <r>
    <s v="STR001"/>
    <x v="0"/>
    <x v="51"/>
    <s v="Ethan"/>
    <x v="1"/>
    <x v="1"/>
    <x v="2"/>
    <x v="0"/>
    <x v="15"/>
    <n v="5"/>
    <n v="483.87"/>
    <n v="7.0000000000000007E-2"/>
    <n v="2250"/>
    <n v="479.62"/>
    <d v="2024-12-21T00:00:00"/>
    <x v="1"/>
    <n v="12"/>
    <x v="10"/>
    <n v="4"/>
    <n v="3"/>
    <n v="6"/>
    <s v="Saturday"/>
  </r>
  <r>
    <s v="STR008"/>
    <x v="1"/>
    <x v="52"/>
    <s v="Alice"/>
    <x v="1"/>
    <x v="0"/>
    <x v="2"/>
    <x v="0"/>
    <x v="13"/>
    <n v="1"/>
    <n v="97.26"/>
    <n v="0.13"/>
    <n v="84.62"/>
    <n v="12.27"/>
    <d v="2025-11-22T00:00:00"/>
    <x v="0"/>
    <n v="11"/>
    <x v="6"/>
    <n v="4"/>
    <n v="4"/>
    <n v="6"/>
    <s v="Saturday"/>
  </r>
  <r>
    <s v="STR006"/>
    <x v="6"/>
    <x v="53"/>
    <s v="Julia"/>
    <x v="2"/>
    <x v="0"/>
    <x v="2"/>
    <x v="1"/>
    <x v="1"/>
    <n v="9"/>
    <n v="205.89"/>
    <n v="0.14000000000000001"/>
    <n v="1593.59"/>
    <n v="330.92"/>
    <d v="2025-11-26T00:00:00"/>
    <x v="0"/>
    <n v="11"/>
    <x v="6"/>
    <n v="4"/>
    <n v="5"/>
    <n v="3"/>
    <s v="Wednesday"/>
  </r>
  <r>
    <s v="STR005"/>
    <x v="3"/>
    <x v="54"/>
    <s v="Ian"/>
    <x v="1"/>
    <x v="0"/>
    <x v="3"/>
    <x v="0"/>
    <x v="2"/>
    <n v="8"/>
    <n v="57.66"/>
    <n v="0.06"/>
    <n v="433.6"/>
    <n v="81.98"/>
    <d v="2025-06-08T00:00:00"/>
    <x v="0"/>
    <n v="6"/>
    <x v="5"/>
    <n v="2"/>
    <n v="2"/>
    <n v="0"/>
    <s v="Sunday"/>
  </r>
  <r>
    <s v="STR007"/>
    <x v="9"/>
    <x v="55"/>
    <s v="Fiona"/>
    <x v="1"/>
    <x v="0"/>
    <x v="0"/>
    <x v="2"/>
    <x v="3"/>
    <n v="4"/>
    <n v="208.59"/>
    <n v="0.28000000000000003"/>
    <n v="600.74"/>
    <n v="76.63"/>
    <d v="2025-10-14T00:00:00"/>
    <x v="0"/>
    <n v="10"/>
    <x v="0"/>
    <n v="4"/>
    <n v="3"/>
    <n v="2"/>
    <s v="Tuesday"/>
  </r>
  <r>
    <s v="STR001"/>
    <x v="0"/>
    <x v="56"/>
    <s v="Alice"/>
    <x v="3"/>
    <x v="0"/>
    <x v="0"/>
    <x v="2"/>
    <x v="7"/>
    <n v="3"/>
    <n v="55.36"/>
    <n v="0.05"/>
    <n v="157.78"/>
    <n v="29.36"/>
    <d v="2025-09-15T00:00:00"/>
    <x v="0"/>
    <n v="9"/>
    <x v="9"/>
    <n v="3"/>
    <n v="3"/>
    <n v="1"/>
    <s v="Monday"/>
  </r>
  <r>
    <s v="STR005"/>
    <x v="3"/>
    <x v="57"/>
    <s v="Diana"/>
    <x v="3"/>
    <x v="0"/>
    <x v="0"/>
    <x v="3"/>
    <x v="6"/>
    <n v="1"/>
    <n v="490.93"/>
    <n v="0.16"/>
    <n v="412.38"/>
    <n v="52.52"/>
    <d v="2025-03-05T00:00:00"/>
    <x v="0"/>
    <n v="3"/>
    <x v="3"/>
    <n v="1"/>
    <n v="2"/>
    <n v="3"/>
    <s v="Wednesday"/>
  </r>
  <r>
    <s v="STR008"/>
    <x v="1"/>
    <x v="58"/>
    <s v="Ethan"/>
    <x v="0"/>
    <x v="1"/>
    <x v="3"/>
    <x v="3"/>
    <x v="9"/>
    <n v="2"/>
    <n v="51.87"/>
    <n v="0.2"/>
    <n v="82.99"/>
    <n v="8.9"/>
    <d v="2025-08-09T00:00:00"/>
    <x v="0"/>
    <n v="8"/>
    <x v="1"/>
    <n v="3"/>
    <n v="2"/>
    <n v="6"/>
    <s v="Saturday"/>
  </r>
  <r>
    <s v="STR006"/>
    <x v="6"/>
    <x v="59"/>
    <s v="George"/>
    <x v="2"/>
    <x v="0"/>
    <x v="3"/>
    <x v="3"/>
    <x v="6"/>
    <n v="3"/>
    <n v="254.86"/>
    <n v="0.2"/>
    <n v="611.66"/>
    <n v="79.06"/>
    <d v="2025-04-21T00:00:00"/>
    <x v="0"/>
    <n v="4"/>
    <x v="7"/>
    <n v="2"/>
    <n v="4"/>
    <n v="1"/>
    <s v="Monday"/>
  </r>
  <r>
    <s v="STR008"/>
    <x v="1"/>
    <x v="60"/>
    <s v="Hannah"/>
    <x v="0"/>
    <x v="0"/>
    <x v="1"/>
    <x v="1"/>
    <x v="8"/>
    <n v="1"/>
    <n v="90.17"/>
    <n v="0.24"/>
    <n v="68.53"/>
    <n v="18.48"/>
    <d v="2025-08-06T00:00:00"/>
    <x v="0"/>
    <n v="8"/>
    <x v="1"/>
    <n v="3"/>
    <n v="2"/>
    <n v="3"/>
    <s v="Wednesday"/>
  </r>
  <r>
    <s v="STR010"/>
    <x v="5"/>
    <x v="61"/>
    <s v="Alice"/>
    <x v="1"/>
    <x v="1"/>
    <x v="2"/>
    <x v="1"/>
    <x v="4"/>
    <n v="4"/>
    <n v="210.33"/>
    <n v="0.28000000000000003"/>
    <n v="605.75"/>
    <n v="144.03"/>
    <d v="2025-03-28T00:00:00"/>
    <x v="0"/>
    <n v="3"/>
    <x v="3"/>
    <n v="1"/>
    <n v="5"/>
    <n v="5"/>
    <s v="Friday"/>
  </r>
  <r>
    <s v="STR006"/>
    <x v="6"/>
    <x v="62"/>
    <s v="Julia"/>
    <x v="2"/>
    <x v="1"/>
    <x v="2"/>
    <x v="2"/>
    <x v="3"/>
    <n v="5"/>
    <n v="166.82"/>
    <n v="0.15"/>
    <n v="708.98"/>
    <n v="111.19"/>
    <d v="2025-06-24T00:00:00"/>
    <x v="0"/>
    <n v="6"/>
    <x v="5"/>
    <n v="2"/>
    <n v="4"/>
    <n v="2"/>
    <s v="Tuesday"/>
  </r>
  <r>
    <s v="STR010"/>
    <x v="5"/>
    <x v="63"/>
    <s v="Ian"/>
    <x v="3"/>
    <x v="1"/>
    <x v="2"/>
    <x v="3"/>
    <x v="9"/>
    <n v="5"/>
    <n v="151.03"/>
    <n v="0.03"/>
    <n v="732.5"/>
    <n v="142.26"/>
    <d v="2025-07-11T00:00:00"/>
    <x v="0"/>
    <n v="7"/>
    <x v="8"/>
    <n v="3"/>
    <n v="2"/>
    <n v="5"/>
    <s v="Friday"/>
  </r>
  <r>
    <s v="STR004"/>
    <x v="8"/>
    <x v="64"/>
    <s v="Ian"/>
    <x v="0"/>
    <x v="1"/>
    <x v="3"/>
    <x v="3"/>
    <x v="9"/>
    <n v="5"/>
    <n v="130.38"/>
    <n v="0.04"/>
    <n v="625.82000000000005"/>
    <n v="130.44999999999999"/>
    <d v="2025-02-16T00:00:00"/>
    <x v="0"/>
    <n v="2"/>
    <x v="11"/>
    <n v="1"/>
    <n v="4"/>
    <n v="0"/>
    <s v="Sunday"/>
  </r>
  <r>
    <s v="STR004"/>
    <x v="8"/>
    <x v="65"/>
    <s v="Ian"/>
    <x v="0"/>
    <x v="0"/>
    <x v="1"/>
    <x v="0"/>
    <x v="2"/>
    <n v="1"/>
    <n v="362.62"/>
    <n v="0.22"/>
    <n v="282.83999999999997"/>
    <n v="83.53"/>
    <d v="2025-01-08T00:00:00"/>
    <x v="0"/>
    <n v="1"/>
    <x v="4"/>
    <n v="1"/>
    <n v="2"/>
    <n v="3"/>
    <s v="Wednesday"/>
  </r>
  <r>
    <s v="STR007"/>
    <x v="9"/>
    <x v="66"/>
    <s v="Fiona"/>
    <x v="3"/>
    <x v="1"/>
    <x v="2"/>
    <x v="1"/>
    <x v="11"/>
    <n v="10"/>
    <n v="364.84"/>
    <n v="0.14000000000000001"/>
    <n v="3137.62"/>
    <n v="579.44000000000005"/>
    <d v="2025-04-26T00:00:00"/>
    <x v="0"/>
    <n v="4"/>
    <x v="7"/>
    <n v="2"/>
    <n v="4"/>
    <n v="6"/>
    <s v="Saturday"/>
  </r>
  <r>
    <s v="STR009"/>
    <x v="2"/>
    <x v="67"/>
    <s v="Hannah"/>
    <x v="2"/>
    <x v="1"/>
    <x v="0"/>
    <x v="1"/>
    <x v="4"/>
    <n v="4"/>
    <n v="28.76"/>
    <n v="0.09"/>
    <n v="104.69"/>
    <n v="23.53"/>
    <d v="2025-03-03T00:00:00"/>
    <x v="0"/>
    <n v="3"/>
    <x v="3"/>
    <n v="1"/>
    <n v="2"/>
    <n v="1"/>
    <s v="Monday"/>
  </r>
  <r>
    <s v="STR007"/>
    <x v="9"/>
    <x v="68"/>
    <s v="George"/>
    <x v="3"/>
    <x v="0"/>
    <x v="2"/>
    <x v="3"/>
    <x v="9"/>
    <n v="3"/>
    <n v="293.38"/>
    <n v="0.14000000000000001"/>
    <n v="756.92"/>
    <n v="99.43"/>
    <d v="2024-12-18T00:00:00"/>
    <x v="1"/>
    <n v="12"/>
    <x v="10"/>
    <n v="4"/>
    <n v="3"/>
    <n v="3"/>
    <s v="Wednesday"/>
  </r>
  <r>
    <s v="STR010"/>
    <x v="5"/>
    <x v="69"/>
    <s v="Charlie"/>
    <x v="0"/>
    <x v="0"/>
    <x v="3"/>
    <x v="0"/>
    <x v="2"/>
    <n v="4"/>
    <n v="342"/>
    <n v="0.25"/>
    <n v="1026"/>
    <n v="252.36"/>
    <d v="2025-12-01T00:00:00"/>
    <x v="0"/>
    <n v="12"/>
    <x v="10"/>
    <n v="4"/>
    <n v="1"/>
    <n v="1"/>
    <s v="Monday"/>
  </r>
  <r>
    <s v="STR009"/>
    <x v="2"/>
    <x v="70"/>
    <s v="Charlie"/>
    <x v="1"/>
    <x v="0"/>
    <x v="2"/>
    <x v="3"/>
    <x v="6"/>
    <n v="8"/>
    <n v="312.98"/>
    <n v="0.21"/>
    <n v="1978.03"/>
    <n v="374.38"/>
    <d v="2025-06-22T00:00:00"/>
    <x v="0"/>
    <n v="6"/>
    <x v="5"/>
    <n v="2"/>
    <n v="4"/>
    <n v="0"/>
    <s v="Sunday"/>
  </r>
  <r>
    <s v="STR010"/>
    <x v="5"/>
    <x v="71"/>
    <s v="George"/>
    <x v="0"/>
    <x v="1"/>
    <x v="3"/>
    <x v="3"/>
    <x v="12"/>
    <n v="10"/>
    <n v="250.57"/>
    <n v="0.3"/>
    <n v="1753.99"/>
    <n v="377.13"/>
    <d v="2025-07-24T00:00:00"/>
    <x v="0"/>
    <n v="7"/>
    <x v="8"/>
    <n v="3"/>
    <n v="4"/>
    <n v="4"/>
    <s v="Thursday"/>
  </r>
  <r>
    <s v="STR007"/>
    <x v="9"/>
    <x v="72"/>
    <s v="Ian"/>
    <x v="1"/>
    <x v="1"/>
    <x v="0"/>
    <x v="0"/>
    <x v="0"/>
    <n v="3"/>
    <n v="266.05"/>
    <n v="0.21"/>
    <n v="630.54"/>
    <n v="88.64"/>
    <d v="2025-06-01T00:00:00"/>
    <x v="0"/>
    <n v="6"/>
    <x v="5"/>
    <n v="2"/>
    <n v="1"/>
    <n v="0"/>
    <s v="Sunday"/>
  </r>
  <r>
    <s v="STR005"/>
    <x v="3"/>
    <x v="73"/>
    <s v="George"/>
    <x v="2"/>
    <x v="1"/>
    <x v="1"/>
    <x v="1"/>
    <x v="1"/>
    <n v="2"/>
    <n v="130.13"/>
    <n v="0.23"/>
    <n v="200.4"/>
    <n v="23.16"/>
    <d v="2025-09-07T00:00:00"/>
    <x v="0"/>
    <n v="9"/>
    <x v="9"/>
    <n v="3"/>
    <n v="2"/>
    <n v="0"/>
    <s v="Sunday"/>
  </r>
  <r>
    <s v="STR005"/>
    <x v="3"/>
    <x v="74"/>
    <s v="Julia"/>
    <x v="3"/>
    <x v="1"/>
    <x v="1"/>
    <x v="3"/>
    <x v="12"/>
    <n v="10"/>
    <n v="343.26"/>
    <n v="0.21"/>
    <n v="2711.75"/>
    <n v="796.03"/>
    <d v="2025-03-20T00:00:00"/>
    <x v="0"/>
    <n v="3"/>
    <x v="3"/>
    <n v="1"/>
    <n v="4"/>
    <n v="4"/>
    <s v="Thursday"/>
  </r>
  <r>
    <s v="STR003"/>
    <x v="7"/>
    <x v="75"/>
    <s v="Bob"/>
    <x v="2"/>
    <x v="0"/>
    <x v="3"/>
    <x v="1"/>
    <x v="4"/>
    <n v="3"/>
    <n v="67.25"/>
    <n v="0.19"/>
    <n v="163.41999999999999"/>
    <n v="20.47"/>
    <d v="2025-01-20T00:00:00"/>
    <x v="0"/>
    <n v="1"/>
    <x v="4"/>
    <n v="1"/>
    <n v="4"/>
    <n v="1"/>
    <s v="Monday"/>
  </r>
  <r>
    <s v="STR002"/>
    <x v="4"/>
    <x v="76"/>
    <s v="Hannah"/>
    <x v="2"/>
    <x v="1"/>
    <x v="0"/>
    <x v="1"/>
    <x v="1"/>
    <n v="1"/>
    <n v="351.48"/>
    <n v="0.03"/>
    <n v="340.94"/>
    <n v="81.02"/>
    <d v="2025-01-27T00:00:00"/>
    <x v="0"/>
    <n v="1"/>
    <x v="4"/>
    <n v="1"/>
    <n v="5"/>
    <n v="1"/>
    <s v="Monday"/>
  </r>
  <r>
    <s v="STR006"/>
    <x v="6"/>
    <x v="77"/>
    <s v="Alice"/>
    <x v="1"/>
    <x v="1"/>
    <x v="3"/>
    <x v="2"/>
    <x v="10"/>
    <n v="6"/>
    <n v="132.19999999999999"/>
    <n v="0.3"/>
    <n v="555.24"/>
    <n v="139.47"/>
    <d v="2025-02-18T00:00:00"/>
    <x v="0"/>
    <n v="2"/>
    <x v="11"/>
    <n v="1"/>
    <n v="4"/>
    <n v="2"/>
    <s v="Tuesday"/>
  </r>
  <r>
    <s v="STR007"/>
    <x v="9"/>
    <x v="78"/>
    <s v="Diana"/>
    <x v="0"/>
    <x v="1"/>
    <x v="3"/>
    <x v="0"/>
    <x v="0"/>
    <n v="1"/>
    <n v="142.74"/>
    <n v="0.27"/>
    <n v="104.2"/>
    <n v="22.74"/>
    <d v="2025-09-02T00:00:00"/>
    <x v="0"/>
    <n v="9"/>
    <x v="9"/>
    <n v="3"/>
    <n v="1"/>
    <n v="2"/>
    <s v="Tuesday"/>
  </r>
  <r>
    <s v="STR002"/>
    <x v="4"/>
    <x v="79"/>
    <s v="Hannah"/>
    <x v="3"/>
    <x v="0"/>
    <x v="1"/>
    <x v="2"/>
    <x v="3"/>
    <n v="10"/>
    <n v="102.28"/>
    <n v="0.09"/>
    <n v="930.75"/>
    <n v="279.14999999999998"/>
    <d v="2025-03-02T00:00:00"/>
    <x v="0"/>
    <n v="3"/>
    <x v="3"/>
    <n v="1"/>
    <n v="2"/>
    <n v="0"/>
    <s v="Sunday"/>
  </r>
  <r>
    <s v="STR006"/>
    <x v="6"/>
    <x v="80"/>
    <s v="Ethan"/>
    <x v="0"/>
    <x v="1"/>
    <x v="3"/>
    <x v="0"/>
    <x v="2"/>
    <n v="1"/>
    <n v="348.21"/>
    <n v="0.09"/>
    <n v="316.87"/>
    <n v="87.09"/>
    <d v="2025-08-17T00:00:00"/>
    <x v="0"/>
    <n v="8"/>
    <x v="1"/>
    <n v="3"/>
    <n v="4"/>
    <n v="0"/>
    <s v="Sunday"/>
  </r>
  <r>
    <s v="STR003"/>
    <x v="7"/>
    <x v="81"/>
    <s v="Bob"/>
    <x v="1"/>
    <x v="1"/>
    <x v="2"/>
    <x v="3"/>
    <x v="5"/>
    <n v="2"/>
    <n v="417.25"/>
    <n v="0.19"/>
    <n v="675.95"/>
    <n v="183.48"/>
    <d v="2025-04-03T00:00:00"/>
    <x v="0"/>
    <n v="4"/>
    <x v="7"/>
    <n v="2"/>
    <n v="1"/>
    <n v="4"/>
    <s v="Thursday"/>
  </r>
  <r>
    <s v="STR002"/>
    <x v="4"/>
    <x v="82"/>
    <s v="Ian"/>
    <x v="0"/>
    <x v="1"/>
    <x v="1"/>
    <x v="0"/>
    <x v="0"/>
    <n v="7"/>
    <n v="247.81"/>
    <n v="0.23"/>
    <n v="1335.7"/>
    <n v="284.83999999999997"/>
    <d v="2025-05-19T00:00:00"/>
    <x v="0"/>
    <n v="5"/>
    <x v="2"/>
    <n v="2"/>
    <n v="4"/>
    <n v="1"/>
    <s v="Monday"/>
  </r>
  <r>
    <s v="STR007"/>
    <x v="9"/>
    <x v="83"/>
    <s v="Ian"/>
    <x v="3"/>
    <x v="0"/>
    <x v="1"/>
    <x v="1"/>
    <x v="1"/>
    <n v="6"/>
    <n v="355.96"/>
    <n v="0"/>
    <n v="2135.7600000000002"/>
    <n v="636.99"/>
    <d v="2025-07-26T00:00:00"/>
    <x v="0"/>
    <n v="7"/>
    <x v="8"/>
    <n v="3"/>
    <n v="4"/>
    <n v="6"/>
    <s v="Saturday"/>
  </r>
  <r>
    <s v="STR008"/>
    <x v="1"/>
    <x v="84"/>
    <s v="Ethan"/>
    <x v="2"/>
    <x v="0"/>
    <x v="1"/>
    <x v="3"/>
    <x v="12"/>
    <n v="5"/>
    <n v="444.48"/>
    <n v="0.06"/>
    <n v="2089.06"/>
    <n v="306.97000000000003"/>
    <d v="2025-10-27T00:00:00"/>
    <x v="0"/>
    <n v="10"/>
    <x v="0"/>
    <n v="4"/>
    <n v="5"/>
    <n v="1"/>
    <s v="Monday"/>
  </r>
  <r>
    <s v="STR009"/>
    <x v="2"/>
    <x v="85"/>
    <s v="Bob"/>
    <x v="1"/>
    <x v="1"/>
    <x v="3"/>
    <x v="0"/>
    <x v="2"/>
    <n v="8"/>
    <n v="459.91"/>
    <n v="0.28999999999999998"/>
    <n v="2612.29"/>
    <n v="747.09"/>
    <d v="2025-11-13T00:00:00"/>
    <x v="0"/>
    <n v="11"/>
    <x v="6"/>
    <n v="4"/>
    <n v="3"/>
    <n v="4"/>
    <s v="Thursday"/>
  </r>
  <r>
    <s v="STR007"/>
    <x v="9"/>
    <x v="86"/>
    <s v="Ethan"/>
    <x v="2"/>
    <x v="1"/>
    <x v="3"/>
    <x v="0"/>
    <x v="13"/>
    <n v="4"/>
    <n v="321.24"/>
    <n v="0.19"/>
    <n v="1040.82"/>
    <n v="162.61000000000001"/>
    <d v="2025-12-08T00:00:00"/>
    <x v="0"/>
    <n v="12"/>
    <x v="10"/>
    <n v="4"/>
    <n v="2"/>
    <n v="1"/>
    <s v="Monday"/>
  </r>
  <r>
    <s v="STR009"/>
    <x v="2"/>
    <x v="87"/>
    <s v="Hannah"/>
    <x v="2"/>
    <x v="0"/>
    <x v="0"/>
    <x v="0"/>
    <x v="15"/>
    <n v="7"/>
    <n v="358.49"/>
    <n v="0.19"/>
    <n v="2032.64"/>
    <n v="428.22"/>
    <d v="2025-07-02T00:00:00"/>
    <x v="0"/>
    <n v="7"/>
    <x v="8"/>
    <n v="3"/>
    <n v="1"/>
    <n v="3"/>
    <s v="Wednesday"/>
  </r>
  <r>
    <s v="STR002"/>
    <x v="4"/>
    <x v="88"/>
    <s v="Alice"/>
    <x v="2"/>
    <x v="1"/>
    <x v="0"/>
    <x v="0"/>
    <x v="2"/>
    <n v="3"/>
    <n v="20.76"/>
    <n v="0.09"/>
    <n v="56.67"/>
    <n v="11.7"/>
    <d v="2025-03-07T00:00:00"/>
    <x v="0"/>
    <n v="3"/>
    <x v="3"/>
    <n v="1"/>
    <n v="2"/>
    <n v="5"/>
    <s v="Friday"/>
  </r>
  <r>
    <s v="STR002"/>
    <x v="4"/>
    <x v="89"/>
    <s v="Fiona"/>
    <x v="3"/>
    <x v="0"/>
    <x v="3"/>
    <x v="0"/>
    <x v="15"/>
    <n v="3"/>
    <n v="232.01"/>
    <n v="0.06"/>
    <n v="654.27"/>
    <n v="84.47"/>
    <d v="2025-01-12T00:00:00"/>
    <x v="0"/>
    <n v="1"/>
    <x v="4"/>
    <n v="1"/>
    <n v="3"/>
    <n v="0"/>
    <s v="Sunday"/>
  </r>
  <r>
    <s v="STR003"/>
    <x v="7"/>
    <x v="90"/>
    <s v="Julia"/>
    <x v="3"/>
    <x v="0"/>
    <x v="2"/>
    <x v="3"/>
    <x v="12"/>
    <n v="2"/>
    <n v="403.62"/>
    <n v="0.03"/>
    <n v="783.02"/>
    <n v="117.3"/>
    <d v="2025-02-03T00:00:00"/>
    <x v="0"/>
    <n v="2"/>
    <x v="11"/>
    <n v="1"/>
    <n v="2"/>
    <n v="1"/>
    <s v="Monday"/>
  </r>
  <r>
    <s v="STR009"/>
    <x v="2"/>
    <x v="91"/>
    <s v="George"/>
    <x v="1"/>
    <x v="0"/>
    <x v="1"/>
    <x v="0"/>
    <x v="13"/>
    <n v="10"/>
    <n v="60.24"/>
    <n v="0.3"/>
    <n v="421.68"/>
    <n v="111.83"/>
    <d v="2025-05-20T00:00:00"/>
    <x v="0"/>
    <n v="5"/>
    <x v="2"/>
    <n v="2"/>
    <n v="4"/>
    <n v="2"/>
    <s v="Tuesday"/>
  </r>
  <r>
    <s v="STR010"/>
    <x v="5"/>
    <x v="92"/>
    <s v="Fiona"/>
    <x v="0"/>
    <x v="0"/>
    <x v="0"/>
    <x v="1"/>
    <x v="1"/>
    <n v="1"/>
    <n v="459.81"/>
    <n v="0.06"/>
    <n v="432.22"/>
    <n v="88.33"/>
    <d v="2025-08-17T00:00:00"/>
    <x v="0"/>
    <n v="8"/>
    <x v="1"/>
    <n v="3"/>
    <n v="4"/>
    <n v="0"/>
    <s v="Sunday"/>
  </r>
  <r>
    <s v="STR010"/>
    <x v="5"/>
    <x v="93"/>
    <s v="Julia"/>
    <x v="0"/>
    <x v="1"/>
    <x v="2"/>
    <x v="0"/>
    <x v="13"/>
    <n v="3"/>
    <n v="78.42"/>
    <n v="0.13"/>
    <n v="204.68"/>
    <n v="44.46"/>
    <d v="2025-03-27T00:00:00"/>
    <x v="0"/>
    <n v="3"/>
    <x v="3"/>
    <n v="1"/>
    <n v="5"/>
    <n v="4"/>
    <s v="Thursday"/>
  </r>
  <r>
    <s v="STR004"/>
    <x v="8"/>
    <x v="94"/>
    <s v="Ian"/>
    <x v="1"/>
    <x v="1"/>
    <x v="2"/>
    <x v="0"/>
    <x v="15"/>
    <n v="7"/>
    <n v="387.66"/>
    <n v="0.28000000000000003"/>
    <n v="1953.81"/>
    <n v="408.28"/>
    <d v="2025-07-18T00:00:00"/>
    <x v="0"/>
    <n v="7"/>
    <x v="8"/>
    <n v="3"/>
    <n v="3"/>
    <n v="5"/>
    <s v="Friday"/>
  </r>
  <r>
    <s v="STR002"/>
    <x v="4"/>
    <x v="95"/>
    <s v="Ian"/>
    <x v="3"/>
    <x v="1"/>
    <x v="0"/>
    <x v="3"/>
    <x v="5"/>
    <n v="1"/>
    <n v="192.53"/>
    <n v="0.28999999999999998"/>
    <n v="136.69999999999999"/>
    <n v="35.43"/>
    <d v="2025-04-23T00:00:00"/>
    <x v="0"/>
    <n v="4"/>
    <x v="7"/>
    <n v="2"/>
    <n v="4"/>
    <n v="3"/>
    <s v="Wednesday"/>
  </r>
  <r>
    <s v="STR008"/>
    <x v="1"/>
    <x v="96"/>
    <s v="Julia"/>
    <x v="0"/>
    <x v="0"/>
    <x v="0"/>
    <x v="2"/>
    <x v="14"/>
    <n v="8"/>
    <n v="177.48"/>
    <n v="0.01"/>
    <n v="1405.64"/>
    <n v="291.55"/>
    <d v="2025-03-24T00:00:00"/>
    <x v="0"/>
    <n v="3"/>
    <x v="3"/>
    <n v="1"/>
    <n v="5"/>
    <n v="1"/>
    <s v="Monday"/>
  </r>
  <r>
    <s v="STR009"/>
    <x v="2"/>
    <x v="97"/>
    <s v="Diana"/>
    <x v="1"/>
    <x v="0"/>
    <x v="1"/>
    <x v="1"/>
    <x v="4"/>
    <n v="10"/>
    <n v="206.1"/>
    <n v="0.1"/>
    <n v="1854.9"/>
    <n v="368.28"/>
    <d v="2025-01-03T00:00:00"/>
    <x v="0"/>
    <n v="1"/>
    <x v="4"/>
    <n v="1"/>
    <n v="1"/>
    <n v="5"/>
    <s v="Friday"/>
  </r>
  <r>
    <s v="STR003"/>
    <x v="7"/>
    <x v="98"/>
    <s v="George"/>
    <x v="3"/>
    <x v="1"/>
    <x v="2"/>
    <x v="2"/>
    <x v="10"/>
    <n v="10"/>
    <n v="229.61"/>
    <n v="0.2"/>
    <n v="1836.88"/>
    <n v="417.41"/>
    <d v="2025-07-21T00:00:00"/>
    <x v="0"/>
    <n v="7"/>
    <x v="8"/>
    <n v="3"/>
    <n v="4"/>
    <n v="1"/>
    <s v="Monday"/>
  </r>
  <r>
    <s v="STR007"/>
    <x v="9"/>
    <x v="99"/>
    <s v="Fiona"/>
    <x v="1"/>
    <x v="1"/>
    <x v="1"/>
    <x v="3"/>
    <x v="12"/>
    <n v="4"/>
    <n v="194.51"/>
    <n v="0.28000000000000003"/>
    <n v="560.19000000000005"/>
    <n v="152.04"/>
    <d v="2025-07-09T00:00:00"/>
    <x v="0"/>
    <n v="7"/>
    <x v="8"/>
    <n v="3"/>
    <n v="2"/>
    <n v="3"/>
    <s v="Wednesday"/>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STR001"/>
    <s v="Kolkata"/>
    <s v="CUST001"/>
    <s v="George"/>
    <s v="46-60"/>
    <s v="Female"/>
    <s v="North"/>
    <s v="Clothing"/>
    <x v="0"/>
    <s v="10/16/2025"/>
    <n v="9"/>
    <n v="435.39"/>
    <n v="0.03"/>
    <n v="3800.95"/>
    <n v="755.43"/>
  </r>
  <r>
    <s v="STR001"/>
    <s v="Kolkata"/>
    <s v="CUST002"/>
    <s v="George"/>
    <s v="26-35"/>
    <s v="Female"/>
    <s v="East"/>
    <s v="Electronics"/>
    <x v="1"/>
    <d v="2025-08-08T00:00:00"/>
    <n v="5"/>
    <n v="230.61"/>
    <n v="0.12"/>
    <n v="1014.68"/>
    <n v="164.5"/>
  </r>
  <r>
    <s v="STR008"/>
    <s v="Ahmedabad"/>
    <s v="CUST003"/>
    <s v="Ian"/>
    <s v="46-60"/>
    <s v="Male"/>
    <s v="North"/>
    <s v="Clothing"/>
    <x v="2"/>
    <s v="10/20/2025"/>
    <n v="10"/>
    <n v="266.47000000000003"/>
    <n v="0.06"/>
    <n v="2504.8200000000002"/>
    <n v="701.1"/>
  </r>
  <r>
    <s v="STR008"/>
    <s v="Ahmedabad"/>
    <s v="CUST004"/>
    <s v="Fiona"/>
    <s v="46-60"/>
    <s v="Female"/>
    <s v="North"/>
    <s v="Furniture"/>
    <x v="3"/>
    <d v="2025-08-05T00:00:00"/>
    <n v="5"/>
    <n v="468.31"/>
    <n v="7.0000000000000007E-2"/>
    <n v="2177.64"/>
    <n v="341.03"/>
  </r>
  <r>
    <s v="STR009"/>
    <s v="Jaipur"/>
    <s v="CUST005"/>
    <s v="Ian"/>
    <s v="36-45"/>
    <s v="Female"/>
    <s v="North"/>
    <s v="Electronics"/>
    <x v="4"/>
    <d v="2025-07-08T00:00:00"/>
    <n v="7"/>
    <n v="157.53"/>
    <n v="0.18"/>
    <n v="904.22"/>
    <n v="143.72"/>
  </r>
  <r>
    <s v="STR005"/>
    <s v="Chennai"/>
    <s v="CUST006"/>
    <s v="Ethan"/>
    <s v="26-35"/>
    <s v="Female"/>
    <s v="South"/>
    <s v="Books"/>
    <x v="5"/>
    <d v="2025-09-03T00:00:00"/>
    <n v="6"/>
    <n v="13.16"/>
    <n v="0.24"/>
    <n v="60.01"/>
    <n v="16.48"/>
  </r>
  <r>
    <s v="STR002"/>
    <s v="Mumbai"/>
    <s v="CUST007"/>
    <s v="George"/>
    <s v="36-45"/>
    <s v="Female"/>
    <s v="West"/>
    <s v="Books"/>
    <x v="6"/>
    <d v="2025-04-01T00:00:00"/>
    <n v="2"/>
    <n v="182.16"/>
    <n v="0.11"/>
    <n v="324.24"/>
    <n v="73.989999999999995"/>
  </r>
  <r>
    <s v="STR010"/>
    <s v="Lucknow"/>
    <s v="CUST008"/>
    <s v="Julia"/>
    <s v="36-45"/>
    <s v="Male"/>
    <s v="East"/>
    <s v="Books"/>
    <x v="5"/>
    <d v="2025-12-06T00:00:00"/>
    <n v="6"/>
    <n v="336.11"/>
    <n v="0.19"/>
    <n v="1633.49"/>
    <n v="485.5"/>
  </r>
  <r>
    <s v="STR006"/>
    <s v="Hyderabad"/>
    <s v="CUST009"/>
    <s v="Charlie"/>
    <s v="26-35"/>
    <s v="Male"/>
    <s v="North"/>
    <s v="Furniture"/>
    <x v="7"/>
    <s v="5/29/2025"/>
    <n v="6"/>
    <n v="368.29"/>
    <n v="0.17"/>
    <n v="1834.08"/>
    <n v="535.04999999999995"/>
  </r>
  <r>
    <s v="STR009"/>
    <s v="Jaipur"/>
    <s v="CUST010"/>
    <s v="Alice"/>
    <s v="18-25"/>
    <s v="Male"/>
    <s v="South"/>
    <s v="Clothing"/>
    <x v="0"/>
    <s v="1/17/2025"/>
    <n v="4"/>
    <n v="122.6"/>
    <n v="0.04"/>
    <n v="470.78"/>
    <n v="48.57"/>
  </r>
  <r>
    <s v="STR005"/>
    <s v="Chennai"/>
    <s v="CUST011"/>
    <s v="Ian"/>
    <s v="36-45"/>
    <s v="Male"/>
    <s v="East"/>
    <s v="Electronics"/>
    <x v="8"/>
    <d v="2025-10-01T00:00:00"/>
    <n v="8"/>
    <n v="32.43"/>
    <n v="0.06"/>
    <n v="243.87"/>
    <n v="61.81"/>
  </r>
  <r>
    <s v="STR006"/>
    <s v="Hyderabad"/>
    <s v="CUST012"/>
    <s v="George"/>
    <s v="26-35"/>
    <s v="Female"/>
    <s v="North"/>
    <s v="Furniture"/>
    <x v="3"/>
    <s v="11/19/2025"/>
    <n v="5"/>
    <n v="216.1"/>
    <n v="0.06"/>
    <n v="1015.67"/>
    <n v="186.09"/>
  </r>
  <r>
    <s v="STR006"/>
    <s v="Hyderabad"/>
    <s v="CUST013"/>
    <s v="Fiona"/>
    <s v="26-35"/>
    <s v="Male"/>
    <s v="North"/>
    <s v="Books"/>
    <x v="9"/>
    <s v="3/21/2025"/>
    <n v="5"/>
    <n v="397.94"/>
    <n v="0.1"/>
    <n v="1790.73"/>
    <n v="358.1"/>
  </r>
  <r>
    <s v="STR003"/>
    <s v="Delhi"/>
    <s v="CUST014"/>
    <s v="Ian"/>
    <s v="46-60"/>
    <s v="Male"/>
    <s v="East"/>
    <s v="Books"/>
    <x v="6"/>
    <d v="2025-08-05T00:00:00"/>
    <n v="9"/>
    <n v="172.3"/>
    <n v="0.21"/>
    <n v="1225.05"/>
    <n v="219.46"/>
  </r>
  <r>
    <s v="STR005"/>
    <s v="Chennai"/>
    <s v="CUST015"/>
    <s v="Hannah"/>
    <s v="26-35"/>
    <s v="Female"/>
    <s v="East"/>
    <s v="Clothing"/>
    <x v="0"/>
    <d v="2025-05-01T00:00:00"/>
    <n v="5"/>
    <n v="132.35"/>
    <n v="0.16"/>
    <n v="555.87"/>
    <n v="68.84"/>
  </r>
  <r>
    <s v="STR005"/>
    <s v="Chennai"/>
    <s v="CUST016"/>
    <s v="Julia"/>
    <s v="18-25"/>
    <s v="Male"/>
    <s v="North"/>
    <s v="Furniture"/>
    <x v="7"/>
    <d v="2025-12-10T00:00:00"/>
    <n v="8"/>
    <n v="351.93"/>
    <n v="0"/>
    <n v="2815.44"/>
    <n v="715.77"/>
  </r>
  <r>
    <s v="STR008"/>
    <s v="Ahmedabad"/>
    <s v="CUST017"/>
    <s v="Julia"/>
    <s v="36-45"/>
    <s v="Female"/>
    <s v="South"/>
    <s v="Furniture"/>
    <x v="10"/>
    <d v="2025-06-04T00:00:00"/>
    <n v="7"/>
    <n v="62.71"/>
    <n v="0.03"/>
    <n v="425.8"/>
    <n v="119.37"/>
  </r>
  <r>
    <s v="STR002"/>
    <s v="Mumbai"/>
    <s v="CUST018"/>
    <s v="Ethan"/>
    <s v="46-60"/>
    <s v="Male"/>
    <s v="West"/>
    <s v="Electronics"/>
    <x v="4"/>
    <d v="2025-02-07T00:00:00"/>
    <n v="8"/>
    <n v="318.63"/>
    <n v="0.23"/>
    <n v="1962.76"/>
    <n v="274.44"/>
  </r>
  <r>
    <s v="STR003"/>
    <s v="Delhi"/>
    <s v="CUST019"/>
    <s v="Charlie"/>
    <s v="46-60"/>
    <s v="Female"/>
    <s v="West"/>
    <s v="Clothing"/>
    <x v="2"/>
    <d v="2025-01-11T00:00:00"/>
    <n v="4"/>
    <n v="392.4"/>
    <n v="0.11"/>
    <n v="1396.94"/>
    <n v="231.43"/>
  </r>
  <r>
    <s v="STR006"/>
    <s v="Hyderabad"/>
    <s v="CUST020"/>
    <s v="Ian"/>
    <s v="46-60"/>
    <s v="Male"/>
    <s v="West"/>
    <s v="Books"/>
    <x v="9"/>
    <d v="2025-09-06T00:00:00"/>
    <n v="1"/>
    <n v="117.41"/>
    <n v="0.13"/>
    <n v="102.15"/>
    <n v="24.6"/>
  </r>
  <r>
    <s v="STR004"/>
    <s v="Bengaluru"/>
    <s v="CUST021"/>
    <s v="Fiona"/>
    <s v="18-25"/>
    <s v="Male"/>
    <s v="North"/>
    <s v="Electronics"/>
    <x v="11"/>
    <s v="11/26/2025"/>
    <n v="8"/>
    <n v="42.69"/>
    <n v="0.03"/>
    <n v="331.27"/>
    <n v="89.83"/>
  </r>
  <r>
    <s v="STR008"/>
    <s v="Ahmedabad"/>
    <s v="CUST022"/>
    <s v="George"/>
    <s v="36-45"/>
    <s v="Female"/>
    <s v="East"/>
    <s v="Furniture"/>
    <x v="3"/>
    <d v="2025-02-01T00:00:00"/>
    <n v="5"/>
    <n v="383.34"/>
    <n v="0.01"/>
    <n v="1897.53"/>
    <n v="434.87"/>
  </r>
  <r>
    <s v="STR004"/>
    <s v="Bengaluru"/>
    <s v="CUST023"/>
    <s v="Ian"/>
    <s v="18-25"/>
    <s v="Female"/>
    <s v="East"/>
    <s v="Clothing"/>
    <x v="0"/>
    <d v="2025-09-01T00:00:00"/>
    <n v="2"/>
    <n v="429.03"/>
    <n v="0.22"/>
    <n v="669.29"/>
    <n v="163.41999999999999"/>
  </r>
  <r>
    <s v="STR009"/>
    <s v="Jaipur"/>
    <s v="CUST024"/>
    <s v="George"/>
    <s v="36-45"/>
    <s v="Male"/>
    <s v="North"/>
    <s v="Clothing"/>
    <x v="0"/>
    <d v="2025-05-11T00:00:00"/>
    <n v="5"/>
    <n v="401"/>
    <n v="0.27"/>
    <n v="1463.65"/>
    <n v="408.93"/>
  </r>
  <r>
    <s v="STR010"/>
    <s v="Lucknow"/>
    <s v="CUST025"/>
    <s v="Ian"/>
    <s v="26-35"/>
    <s v="Male"/>
    <s v="East"/>
    <s v="Electronics"/>
    <x v="8"/>
    <d v="2025-10-07T00:00:00"/>
    <n v="2"/>
    <n v="306.52"/>
    <n v="0.24"/>
    <n v="465.91"/>
    <n v="82.52"/>
  </r>
  <r>
    <s v="STR010"/>
    <s v="Lucknow"/>
    <s v="CUST026"/>
    <s v="Alice"/>
    <s v="36-45"/>
    <s v="Female"/>
    <s v="West"/>
    <s v="Books"/>
    <x v="5"/>
    <s v="3/23/2025"/>
    <n v="5"/>
    <n v="257.36"/>
    <n v="0.03"/>
    <n v="1248.2"/>
    <n v="343.41"/>
  </r>
  <r>
    <s v="STR001"/>
    <s v="Kolkata"/>
    <s v="CUST027"/>
    <s v="Ethan"/>
    <s v="46-60"/>
    <s v="Female"/>
    <s v="East"/>
    <s v="Electronics"/>
    <x v="1"/>
    <d v="2025-12-03T00:00:00"/>
    <n v="10"/>
    <n v="359.64"/>
    <n v="0.22"/>
    <n v="2805.19"/>
    <n v="657.05"/>
  </r>
  <r>
    <s v="STR006"/>
    <s v="Hyderabad"/>
    <s v="CUST028"/>
    <s v="Ethan"/>
    <s v="26-35"/>
    <s v="Male"/>
    <s v="East"/>
    <s v="Books"/>
    <x v="5"/>
    <s v="10/17/2025"/>
    <n v="5"/>
    <n v="234.86"/>
    <n v="0"/>
    <n v="1174.3"/>
    <n v="308.18"/>
  </r>
  <r>
    <s v="STR001"/>
    <s v="Kolkata"/>
    <s v="CUST029"/>
    <s v="Charlie"/>
    <s v="18-25"/>
    <s v="Female"/>
    <s v="East"/>
    <s v="Electronics"/>
    <x v="1"/>
    <s v="1/14/2025"/>
    <n v="2"/>
    <n v="104.22"/>
    <n v="0.09"/>
    <n v="189.68"/>
    <n v="56.65"/>
  </r>
  <r>
    <s v="STR008"/>
    <s v="Ahmedabad"/>
    <s v="CUST030"/>
    <s v="Diana"/>
    <s v="18-25"/>
    <s v="Male"/>
    <s v="North"/>
    <s v="Electronics"/>
    <x v="8"/>
    <s v="8/25/2025"/>
    <n v="2"/>
    <n v="358.17"/>
    <n v="0.16"/>
    <n v="601.73"/>
    <n v="171.2"/>
  </r>
  <r>
    <s v="STR007"/>
    <s v="Pune"/>
    <s v="CUST031"/>
    <s v="Charlie"/>
    <s v="18-25"/>
    <s v="Female"/>
    <s v="East"/>
    <s v="Books"/>
    <x v="12"/>
    <d v="2025-06-09T00:00:00"/>
    <n v="5"/>
    <n v="387.61"/>
    <n v="0.13"/>
    <n v="1686.1"/>
    <n v="258.93"/>
  </r>
  <r>
    <s v="STR009"/>
    <s v="Jaipur"/>
    <s v="CUST032"/>
    <s v="Diana"/>
    <s v="26-35"/>
    <s v="Male"/>
    <s v="South"/>
    <s v="Furniture"/>
    <x v="10"/>
    <s v="11/20/2025"/>
    <n v="10"/>
    <n v="476.12"/>
    <n v="0.19"/>
    <n v="3856.57"/>
    <n v="414.77"/>
  </r>
  <r>
    <s v="STR003"/>
    <s v="Delhi"/>
    <s v="CUST033"/>
    <s v="Fiona"/>
    <s v="26-35"/>
    <s v="Female"/>
    <s v="West"/>
    <s v="Clothing"/>
    <x v="13"/>
    <d v="2025-03-09T00:00:00"/>
    <n v="4"/>
    <n v="181.1"/>
    <n v="0.27"/>
    <n v="528.80999999999995"/>
    <n v="157"/>
  </r>
  <r>
    <s v="STR010"/>
    <s v="Lucknow"/>
    <s v="CUST034"/>
    <s v="Hannah"/>
    <s v="46-60"/>
    <s v="Female"/>
    <s v="West"/>
    <s v="Furniture"/>
    <x v="14"/>
    <s v="7/23/2025"/>
    <n v="2"/>
    <n v="305.24"/>
    <n v="0.22"/>
    <n v="476.17"/>
    <n v="121.85"/>
  </r>
  <r>
    <s v="STR007"/>
    <s v="Pune"/>
    <s v="CUST035"/>
    <s v="Alice"/>
    <s v="46-60"/>
    <s v="Male"/>
    <s v="North"/>
    <s v="Electronics"/>
    <x v="8"/>
    <d v="2025-08-03T00:00:00"/>
    <n v="6"/>
    <n v="87.29"/>
    <n v="0.25"/>
    <n v="392.81"/>
    <n v="89.2"/>
  </r>
  <r>
    <s v="STR006"/>
    <s v="Hyderabad"/>
    <s v="CUST036"/>
    <s v="Ian"/>
    <s v="46-60"/>
    <s v="Female"/>
    <s v="South"/>
    <s v="Furniture"/>
    <x v="14"/>
    <d v="2025-09-10T00:00:00"/>
    <n v="3"/>
    <n v="39.24"/>
    <n v="0.26"/>
    <n v="87.11"/>
    <n v="22.36"/>
  </r>
  <r>
    <s v="STR008"/>
    <s v="Ahmedabad"/>
    <s v="CUST037"/>
    <s v="Diana"/>
    <s v="26-35"/>
    <s v="Male"/>
    <s v="North"/>
    <s v="Clothing"/>
    <x v="13"/>
    <d v="2025-11-07T00:00:00"/>
    <n v="6"/>
    <n v="427.97"/>
    <n v="0.26"/>
    <n v="1900.19"/>
    <n v="405.11"/>
  </r>
  <r>
    <s v="STR009"/>
    <s v="Jaipur"/>
    <s v="CUST038"/>
    <s v="Charlie"/>
    <s v="46-60"/>
    <s v="Male"/>
    <s v="South"/>
    <s v="Electronics"/>
    <x v="11"/>
    <s v="12/16/2024"/>
    <n v="6"/>
    <n v="368.97"/>
    <n v="0.12"/>
    <n v="1948.16"/>
    <n v="344.85"/>
  </r>
  <r>
    <s v="STR009"/>
    <s v="Jaipur"/>
    <s v="CUST039"/>
    <s v="Ian"/>
    <s v="36-45"/>
    <s v="Male"/>
    <s v="East"/>
    <s v="Furniture"/>
    <x v="14"/>
    <s v="10/15/2025"/>
    <n v="3"/>
    <n v="269.69"/>
    <n v="0.1"/>
    <n v="728.16"/>
    <n v="73.67"/>
  </r>
  <r>
    <s v="STR010"/>
    <s v="Lucknow"/>
    <s v="CUST040"/>
    <s v="Charlie"/>
    <s v="46-60"/>
    <s v="Female"/>
    <s v="North"/>
    <s v="Electronics"/>
    <x v="1"/>
    <s v="12/24/2024"/>
    <n v="2"/>
    <n v="209.36"/>
    <n v="0.13"/>
    <n v="364.29"/>
    <n v="92.43"/>
  </r>
  <r>
    <s v="STR002"/>
    <s v="Mumbai"/>
    <s v="CUST041"/>
    <s v="Ian"/>
    <s v="18-25"/>
    <s v="Female"/>
    <s v="South"/>
    <s v="Books"/>
    <x v="12"/>
    <s v="6/20/2025"/>
    <n v="9"/>
    <n v="415.59"/>
    <n v="0.28999999999999998"/>
    <n v="2655.62"/>
    <n v="745.86"/>
  </r>
  <r>
    <s v="STR009"/>
    <s v="Jaipur"/>
    <s v="CUST042"/>
    <s v="Fiona"/>
    <s v="18-25"/>
    <s v="Female"/>
    <s v="South"/>
    <s v="Clothing"/>
    <x v="13"/>
    <s v="12/19/2024"/>
    <n v="3"/>
    <n v="430.83"/>
    <n v="0.18"/>
    <n v="1059.8399999999999"/>
    <n v="169.85"/>
  </r>
  <r>
    <s v="STR001"/>
    <s v="Kolkata"/>
    <s v="CUST043"/>
    <s v="Ethan"/>
    <s v="26-35"/>
    <s v="Male"/>
    <s v="West"/>
    <s v="Clothing"/>
    <x v="2"/>
    <d v="2025-07-08T00:00:00"/>
    <n v="6"/>
    <n v="127.51"/>
    <n v="7.0000000000000007E-2"/>
    <n v="711.51"/>
    <n v="202.83"/>
  </r>
  <r>
    <s v="STR007"/>
    <s v="Pune"/>
    <s v="CUST044"/>
    <s v="Diana"/>
    <s v="26-35"/>
    <s v="Female"/>
    <s v="West"/>
    <s v="Clothing"/>
    <x v="2"/>
    <d v="2025-09-09T00:00:00"/>
    <n v="2"/>
    <n v="193.77"/>
    <n v="0.03"/>
    <n v="375.91"/>
    <n v="73.86"/>
  </r>
  <r>
    <s v="STR005"/>
    <s v="Chennai"/>
    <s v="CUST045"/>
    <s v="Bob"/>
    <s v="36-45"/>
    <s v="Female"/>
    <s v="East"/>
    <s v="Furniture"/>
    <x v="3"/>
    <d v="2025-06-03T00:00:00"/>
    <n v="2"/>
    <n v="296.02"/>
    <n v="7.0000000000000007E-2"/>
    <n v="550.6"/>
    <n v="163.25"/>
  </r>
  <r>
    <s v="STR009"/>
    <s v="Jaipur"/>
    <s v="CUST046"/>
    <s v="Julia"/>
    <s v="26-35"/>
    <s v="Male"/>
    <s v="East"/>
    <s v="Books"/>
    <x v="9"/>
    <s v="9/18/2025"/>
    <n v="3"/>
    <n v="245.36"/>
    <n v="0.08"/>
    <n v="677.19"/>
    <n v="140.08000000000001"/>
  </r>
  <r>
    <s v="STR002"/>
    <s v="Mumbai"/>
    <s v="CUST047"/>
    <s v="Charlie"/>
    <s v="18-25"/>
    <s v="Male"/>
    <s v="North"/>
    <s v="Furniture"/>
    <x v="3"/>
    <d v="2025-09-06T00:00:00"/>
    <n v="3"/>
    <n v="44.81"/>
    <n v="0.2"/>
    <n v="107.54"/>
    <n v="31.74"/>
  </r>
  <r>
    <s v="STR006"/>
    <s v="Hyderabad"/>
    <s v="CUST048"/>
    <s v="Julia"/>
    <s v="18-25"/>
    <s v="Male"/>
    <s v="West"/>
    <s v="Furniture"/>
    <x v="7"/>
    <d v="2025-12-09T00:00:00"/>
    <n v="10"/>
    <n v="473.74"/>
    <n v="0.23"/>
    <n v="3647.8"/>
    <n v="415.81"/>
  </r>
  <r>
    <s v="STR006"/>
    <s v="Hyderabad"/>
    <s v="CUST049"/>
    <s v="George"/>
    <s v="36-45"/>
    <s v="Male"/>
    <s v="North"/>
    <s v="Furniture"/>
    <x v="3"/>
    <s v="6/28/2025"/>
    <n v="3"/>
    <n v="190.38"/>
    <n v="0.21"/>
    <n v="451.2"/>
    <n v="84.65"/>
  </r>
  <r>
    <s v="STR009"/>
    <s v="Jaipur"/>
    <s v="CUST050"/>
    <s v="Fiona"/>
    <s v="36-45"/>
    <s v="Male"/>
    <s v="South"/>
    <s v="Electronics"/>
    <x v="1"/>
    <s v="8/28/2025"/>
    <n v="4"/>
    <n v="338.27"/>
    <n v="0.18"/>
    <n v="1109.53"/>
    <n v="130.6"/>
  </r>
  <r>
    <s v="STR009"/>
    <s v="Jaipur"/>
    <s v="CUST051"/>
    <s v="Bob"/>
    <s v="36-45"/>
    <s v="Male"/>
    <s v="South"/>
    <s v="Furniture"/>
    <x v="10"/>
    <s v="3/24/2025"/>
    <n v="5"/>
    <n v="101.23"/>
    <n v="0.21"/>
    <n v="399.86"/>
    <n v="71.760000000000005"/>
  </r>
  <r>
    <s v="STR001"/>
    <s v="Kolkata"/>
    <s v="CUST052"/>
    <s v="Ethan"/>
    <s v="26-35"/>
    <s v="Male"/>
    <s v="South"/>
    <s v="Clothing"/>
    <x v="15"/>
    <s v="12/21/2024"/>
    <n v="5"/>
    <n v="483.87"/>
    <n v="7.0000000000000007E-2"/>
    <n v="2250"/>
    <n v="479.62"/>
  </r>
  <r>
    <s v="STR008"/>
    <s v="Ahmedabad"/>
    <s v="CUST053"/>
    <s v="Alice"/>
    <s v="26-35"/>
    <s v="Female"/>
    <s v="South"/>
    <s v="Clothing"/>
    <x v="13"/>
    <s v="11/22/2025"/>
    <n v="1"/>
    <n v="97.26"/>
    <n v="0.13"/>
    <n v="84.62"/>
    <n v="12.27"/>
  </r>
  <r>
    <s v="STR006"/>
    <s v="Hyderabad"/>
    <s v="CUST054"/>
    <s v="Julia"/>
    <s v="36-45"/>
    <s v="Female"/>
    <s v="South"/>
    <s v="Electronics"/>
    <x v="1"/>
    <s v="11/26/2025"/>
    <n v="9"/>
    <n v="205.89"/>
    <n v="0.14000000000000001"/>
    <n v="1593.59"/>
    <n v="330.92"/>
  </r>
  <r>
    <s v="STR005"/>
    <s v="Chennai"/>
    <s v="CUST055"/>
    <s v="Ian"/>
    <s v="26-35"/>
    <s v="Female"/>
    <s v="West"/>
    <s v="Clothing"/>
    <x v="2"/>
    <d v="2025-08-06T00:00:00"/>
    <n v="8"/>
    <n v="57.66"/>
    <n v="0.06"/>
    <n v="433.6"/>
    <n v="81.98"/>
  </r>
  <r>
    <s v="STR007"/>
    <s v="Pune"/>
    <s v="CUST056"/>
    <s v="Fiona"/>
    <s v="26-35"/>
    <s v="Female"/>
    <s v="North"/>
    <s v="Furniture"/>
    <x v="3"/>
    <s v="10/14/2025"/>
    <n v="4"/>
    <n v="208.59"/>
    <n v="0.28000000000000003"/>
    <n v="600.74"/>
    <n v="76.63"/>
  </r>
  <r>
    <s v="STR001"/>
    <s v="Kolkata"/>
    <s v="CUST057"/>
    <s v="Alice"/>
    <s v="18-25"/>
    <s v="Female"/>
    <s v="North"/>
    <s v="Furniture"/>
    <x v="7"/>
    <s v="9/15/2025"/>
    <n v="3"/>
    <n v="55.36"/>
    <n v="0.05"/>
    <n v="157.78"/>
    <n v="29.36"/>
  </r>
  <r>
    <s v="STR005"/>
    <s v="Chennai"/>
    <s v="CUST058"/>
    <s v="Diana"/>
    <s v="18-25"/>
    <s v="Female"/>
    <s v="North"/>
    <s v="Books"/>
    <x v="6"/>
    <d v="2025-05-03T00:00:00"/>
    <n v="1"/>
    <n v="490.93"/>
    <n v="0.16"/>
    <n v="412.38"/>
    <n v="52.52"/>
  </r>
  <r>
    <s v="STR008"/>
    <s v="Ahmedabad"/>
    <s v="CUST059"/>
    <s v="Ethan"/>
    <s v="46-60"/>
    <s v="Male"/>
    <s v="West"/>
    <s v="Books"/>
    <x v="9"/>
    <d v="2025-09-08T00:00:00"/>
    <n v="2"/>
    <n v="51.87"/>
    <n v="0.2"/>
    <n v="82.99"/>
    <n v="8.9"/>
  </r>
  <r>
    <s v="STR006"/>
    <s v="Hyderabad"/>
    <s v="CUST060"/>
    <s v="George"/>
    <s v="36-45"/>
    <s v="Female"/>
    <s v="West"/>
    <s v="Books"/>
    <x v="6"/>
    <s v="4/21/2025"/>
    <n v="3"/>
    <n v="254.86"/>
    <n v="0.2"/>
    <n v="611.66"/>
    <n v="79.06"/>
  </r>
  <r>
    <s v="STR008"/>
    <s v="Ahmedabad"/>
    <s v="CUST061"/>
    <s v="Hannah"/>
    <s v="46-60"/>
    <s v="Female"/>
    <s v="East"/>
    <s v="Electronics"/>
    <x v="8"/>
    <d v="2025-06-08T00:00:00"/>
    <n v="1"/>
    <n v="90.17"/>
    <n v="0.24"/>
    <n v="68.53"/>
    <n v="18.48"/>
  </r>
  <r>
    <s v="STR010"/>
    <s v="Lucknow"/>
    <s v="CUST062"/>
    <s v="Alice"/>
    <s v="26-35"/>
    <s v="Male"/>
    <s v="South"/>
    <s v="Electronics"/>
    <x v="4"/>
    <s v="3/28/2025"/>
    <n v="4"/>
    <n v="210.33"/>
    <n v="0.28000000000000003"/>
    <n v="605.75"/>
    <n v="144.03"/>
  </r>
  <r>
    <s v="STR006"/>
    <s v="Hyderabad"/>
    <s v="CUST063"/>
    <s v="Julia"/>
    <s v="36-45"/>
    <s v="Male"/>
    <s v="South"/>
    <s v="Furniture"/>
    <x v="3"/>
    <s v="6/24/2025"/>
    <n v="5"/>
    <n v="166.82"/>
    <n v="0.15"/>
    <n v="708.98"/>
    <n v="111.19"/>
  </r>
  <r>
    <s v="STR010"/>
    <s v="Lucknow"/>
    <s v="CUST064"/>
    <s v="Ian"/>
    <s v="18-25"/>
    <s v="Male"/>
    <s v="South"/>
    <s v="Books"/>
    <x v="9"/>
    <d v="2025-11-07T00:00:00"/>
    <n v="5"/>
    <n v="151.03"/>
    <n v="0.03"/>
    <n v="732.5"/>
    <n v="142.26"/>
  </r>
  <r>
    <s v="STR004"/>
    <s v="Bengaluru"/>
    <s v="CUST065"/>
    <s v="Ian"/>
    <s v="46-60"/>
    <s v="Male"/>
    <s v="West"/>
    <s v="Books"/>
    <x v="9"/>
    <s v="2/16/2025"/>
    <n v="5"/>
    <n v="130.38"/>
    <n v="0.04"/>
    <n v="625.82000000000005"/>
    <n v="130.44999999999999"/>
  </r>
  <r>
    <s v="STR004"/>
    <s v="Bengaluru"/>
    <s v="CUST066"/>
    <s v="Ian"/>
    <s v="46-60"/>
    <s v="Female"/>
    <s v="East"/>
    <s v="Clothing"/>
    <x v="2"/>
    <d v="2025-08-01T00:00:00"/>
    <n v="1"/>
    <n v="362.62"/>
    <n v="0.22"/>
    <n v="282.83999999999997"/>
    <n v="83.53"/>
  </r>
  <r>
    <s v="STR007"/>
    <s v="Pune"/>
    <s v="CUST067"/>
    <s v="Fiona"/>
    <s v="18-25"/>
    <s v="Male"/>
    <s v="South"/>
    <s v="Electronics"/>
    <x v="11"/>
    <s v="4/26/2025"/>
    <n v="10"/>
    <n v="364.84"/>
    <n v="0.14000000000000001"/>
    <n v="3137.62"/>
    <n v="579.44000000000005"/>
  </r>
  <r>
    <s v="STR009"/>
    <s v="Jaipur"/>
    <s v="CUST068"/>
    <s v="Hannah"/>
    <s v="36-45"/>
    <s v="Male"/>
    <s v="North"/>
    <s v="Electronics"/>
    <x v="4"/>
    <d v="2025-03-03T00:00:00"/>
    <n v="4"/>
    <n v="28.76"/>
    <n v="0.09"/>
    <n v="104.69"/>
    <n v="23.53"/>
  </r>
  <r>
    <s v="STR007"/>
    <s v="Pune"/>
    <s v="CUST069"/>
    <s v="George"/>
    <s v="18-25"/>
    <s v="Female"/>
    <s v="South"/>
    <s v="Books"/>
    <x v="9"/>
    <s v="12/18/2024"/>
    <n v="3"/>
    <n v="293.38"/>
    <n v="0.14000000000000001"/>
    <n v="756.92"/>
    <n v="99.43"/>
  </r>
  <r>
    <s v="STR010"/>
    <s v="Lucknow"/>
    <s v="CUST070"/>
    <s v="Charlie"/>
    <s v="46-60"/>
    <s v="Female"/>
    <s v="West"/>
    <s v="Clothing"/>
    <x v="2"/>
    <d v="2025-01-12T00:00:00"/>
    <n v="4"/>
    <n v="342"/>
    <n v="0.25"/>
    <n v="1026"/>
    <n v="252.36"/>
  </r>
  <r>
    <s v="STR009"/>
    <s v="Jaipur"/>
    <s v="CUST071"/>
    <s v="Charlie"/>
    <s v="26-35"/>
    <s v="Female"/>
    <s v="South"/>
    <s v="Books"/>
    <x v="6"/>
    <s v="6/22/2025"/>
    <n v="8"/>
    <n v="312.98"/>
    <n v="0.21"/>
    <n v="1978.03"/>
    <n v="374.38"/>
  </r>
  <r>
    <s v="STR010"/>
    <s v="Lucknow"/>
    <s v="CUST072"/>
    <s v="George"/>
    <s v="46-60"/>
    <s v="Male"/>
    <s v="West"/>
    <s v="Books"/>
    <x v="12"/>
    <s v="7/24/2025"/>
    <n v="10"/>
    <n v="250.57"/>
    <n v="0.3"/>
    <n v="1753.99"/>
    <n v="377.13"/>
  </r>
  <r>
    <s v="STR007"/>
    <s v="Pune"/>
    <s v="CUST073"/>
    <s v="Ian"/>
    <s v="26-35"/>
    <s v="Male"/>
    <s v="North"/>
    <s v="Clothing"/>
    <x v="0"/>
    <d v="2025-01-06T00:00:00"/>
    <n v="3"/>
    <n v="266.05"/>
    <n v="0.21"/>
    <n v="630.54"/>
    <n v="88.64"/>
  </r>
  <r>
    <s v="STR005"/>
    <s v="Chennai"/>
    <s v="CUST074"/>
    <s v="George"/>
    <s v="36-45"/>
    <s v="Male"/>
    <s v="East"/>
    <s v="Electronics"/>
    <x v="1"/>
    <d v="2025-07-09T00:00:00"/>
    <n v="2"/>
    <n v="130.13"/>
    <n v="0.23"/>
    <n v="200.4"/>
    <n v="23.16"/>
  </r>
  <r>
    <s v="STR005"/>
    <s v="Chennai"/>
    <s v="CUST075"/>
    <s v="Julia"/>
    <s v="18-25"/>
    <s v="Male"/>
    <s v="East"/>
    <s v="Books"/>
    <x v="12"/>
    <s v="3/20/2025"/>
    <n v="10"/>
    <n v="343.26"/>
    <n v="0.21"/>
    <n v="2711.75"/>
    <n v="796.03"/>
  </r>
  <r>
    <s v="STR003"/>
    <s v="Delhi"/>
    <s v="CUST076"/>
    <s v="Bob"/>
    <s v="36-45"/>
    <s v="Female"/>
    <s v="West"/>
    <s v="Electronics"/>
    <x v="4"/>
    <s v="1/20/2025"/>
    <n v="3"/>
    <n v="67.25"/>
    <n v="0.19"/>
    <n v="163.41999999999999"/>
    <n v="20.47"/>
  </r>
  <r>
    <s v="STR002"/>
    <s v="Mumbai"/>
    <s v="CUST077"/>
    <s v="Hannah"/>
    <s v="36-45"/>
    <s v="Male"/>
    <s v="North"/>
    <s v="Electronics"/>
    <x v="1"/>
    <s v="1/27/2025"/>
    <n v="1"/>
    <n v="351.48"/>
    <n v="0.03"/>
    <n v="340.94"/>
    <n v="81.02"/>
  </r>
  <r>
    <s v="STR006"/>
    <s v="Hyderabad"/>
    <s v="CUST078"/>
    <s v="Alice"/>
    <s v="26-35"/>
    <s v="Male"/>
    <s v="West"/>
    <s v="Furniture"/>
    <x v="10"/>
    <s v="2/18/2025"/>
    <n v="6"/>
    <n v="132.19999999999999"/>
    <n v="0.3"/>
    <n v="555.24"/>
    <n v="139.47"/>
  </r>
  <r>
    <s v="STR007"/>
    <s v="Pune"/>
    <s v="CUST079"/>
    <s v="Diana"/>
    <s v="46-60"/>
    <s v="Male"/>
    <s v="West"/>
    <s v="Clothing"/>
    <x v="0"/>
    <d v="2025-02-09T00:00:00"/>
    <n v="1"/>
    <n v="142.74"/>
    <n v="0.27"/>
    <n v="104.2"/>
    <n v="22.74"/>
  </r>
  <r>
    <s v="STR002"/>
    <s v="Mumbai"/>
    <s v="CUST080"/>
    <s v="Hannah"/>
    <s v="18-25"/>
    <s v="Female"/>
    <s v="East"/>
    <s v="Furniture"/>
    <x v="3"/>
    <d v="2025-02-03T00:00:00"/>
    <n v="10"/>
    <n v="102.28"/>
    <n v="0.09"/>
    <n v="930.75"/>
    <n v="279.14999999999998"/>
  </r>
  <r>
    <s v="STR006"/>
    <s v="Hyderabad"/>
    <s v="CUST081"/>
    <s v="Ethan"/>
    <s v="46-60"/>
    <s v="Male"/>
    <s v="West"/>
    <s v="Clothing"/>
    <x v="2"/>
    <s v="8/17/2025"/>
    <n v="1"/>
    <n v="348.21"/>
    <n v="0.09"/>
    <n v="316.87"/>
    <n v="87.09"/>
  </r>
  <r>
    <s v="STR003"/>
    <s v="Delhi"/>
    <s v="CUST082"/>
    <s v="Bob"/>
    <s v="26-35"/>
    <s v="Male"/>
    <s v="South"/>
    <s v="Books"/>
    <x v="5"/>
    <d v="2025-03-04T00:00:00"/>
    <n v="2"/>
    <n v="417.25"/>
    <n v="0.19"/>
    <n v="675.95"/>
    <n v="183.48"/>
  </r>
  <r>
    <s v="STR002"/>
    <s v="Mumbai"/>
    <s v="CUST083"/>
    <s v="Ian"/>
    <s v="46-60"/>
    <s v="Male"/>
    <s v="East"/>
    <s v="Clothing"/>
    <x v="0"/>
    <s v="5/19/2025"/>
    <n v="7"/>
    <n v="247.81"/>
    <n v="0.23"/>
    <n v="1335.7"/>
    <n v="284.83999999999997"/>
  </r>
  <r>
    <s v="STR007"/>
    <s v="Pune"/>
    <s v="CUST084"/>
    <s v="Ian"/>
    <s v="18-25"/>
    <s v="Female"/>
    <s v="East"/>
    <s v="Electronics"/>
    <x v="1"/>
    <s v="7/26/2025"/>
    <n v="6"/>
    <n v="355.96"/>
    <n v="0"/>
    <n v="2135.7600000000002"/>
    <n v="636.99"/>
  </r>
  <r>
    <s v="STR008"/>
    <s v="Ahmedabad"/>
    <s v="CUST085"/>
    <s v="Ethan"/>
    <s v="36-45"/>
    <s v="Female"/>
    <s v="East"/>
    <s v="Books"/>
    <x v="12"/>
    <s v="10/27/2025"/>
    <n v="5"/>
    <n v="444.48"/>
    <n v="0.06"/>
    <n v="2089.06"/>
    <n v="306.97000000000003"/>
  </r>
  <r>
    <s v="STR009"/>
    <s v="Jaipur"/>
    <s v="CUST086"/>
    <s v="Bob"/>
    <s v="26-35"/>
    <s v="Male"/>
    <s v="West"/>
    <s v="Clothing"/>
    <x v="2"/>
    <s v="11/13/2025"/>
    <n v="8"/>
    <n v="459.91"/>
    <n v="0.28999999999999998"/>
    <n v="2612.29"/>
    <n v="747.09"/>
  </r>
  <r>
    <s v="STR007"/>
    <s v="Pune"/>
    <s v="CUST087"/>
    <s v="Ethan"/>
    <s v="36-45"/>
    <s v="Male"/>
    <s v="West"/>
    <s v="Clothing"/>
    <x v="13"/>
    <d v="2025-08-12T00:00:00"/>
    <n v="4"/>
    <n v="321.24"/>
    <n v="0.19"/>
    <n v="1040.82"/>
    <n v="162.61000000000001"/>
  </r>
  <r>
    <s v="STR009"/>
    <s v="Jaipur"/>
    <s v="CUST088"/>
    <s v="Hannah"/>
    <s v="36-45"/>
    <s v="Female"/>
    <s v="North"/>
    <s v="Clothing"/>
    <x v="15"/>
    <d v="2025-02-07T00:00:00"/>
    <n v="7"/>
    <n v="358.49"/>
    <n v="0.19"/>
    <n v="2032.64"/>
    <n v="428.22"/>
  </r>
  <r>
    <s v="STR002"/>
    <s v="Mumbai"/>
    <s v="CUST089"/>
    <s v="Alice"/>
    <s v="36-45"/>
    <s v="Male"/>
    <s v="North"/>
    <s v="Clothing"/>
    <x v="2"/>
    <d v="2025-07-03T00:00:00"/>
    <n v="3"/>
    <n v="20.76"/>
    <n v="0.09"/>
    <n v="56.67"/>
    <n v="11.7"/>
  </r>
  <r>
    <s v="STR002"/>
    <s v="Mumbai"/>
    <s v="CUST090"/>
    <s v="Fiona"/>
    <s v="18-25"/>
    <s v="Female"/>
    <s v="West"/>
    <s v="Clothing"/>
    <x v="15"/>
    <d v="2025-12-01T00:00:00"/>
    <n v="3"/>
    <n v="232.01"/>
    <n v="0.06"/>
    <n v="654.27"/>
    <n v="84.47"/>
  </r>
  <r>
    <s v="STR003"/>
    <s v="Delhi"/>
    <s v="CUST091"/>
    <s v="Julia"/>
    <s v="18-25"/>
    <s v="Female"/>
    <s v="South"/>
    <s v="Books"/>
    <x v="12"/>
    <d v="2025-03-02T00:00:00"/>
    <n v="2"/>
    <n v="403.62"/>
    <n v="0.03"/>
    <n v="783.02"/>
    <n v="117.3"/>
  </r>
  <r>
    <s v="STR009"/>
    <s v="Jaipur"/>
    <s v="CUST092"/>
    <s v="George"/>
    <s v="26-35"/>
    <s v="Female"/>
    <s v="East"/>
    <s v="Clothing"/>
    <x v="13"/>
    <s v="5/20/2025"/>
    <n v="10"/>
    <n v="60.24"/>
    <n v="0.3"/>
    <n v="421.68"/>
    <n v="111.83"/>
  </r>
  <r>
    <s v="STR010"/>
    <s v="Lucknow"/>
    <s v="CUST093"/>
    <s v="Fiona"/>
    <s v="46-60"/>
    <s v="Female"/>
    <s v="North"/>
    <s v="Electronics"/>
    <x v="1"/>
    <s v="8/17/2025"/>
    <n v="1"/>
    <n v="459.81"/>
    <n v="0.06"/>
    <n v="432.22"/>
    <n v="88.33"/>
  </r>
  <r>
    <s v="STR010"/>
    <s v="Lucknow"/>
    <s v="CUST094"/>
    <s v="Julia"/>
    <s v="46-60"/>
    <s v="Male"/>
    <s v="South"/>
    <s v="Clothing"/>
    <x v="13"/>
    <s v="3/27/2025"/>
    <n v="3"/>
    <n v="78.42"/>
    <n v="0.13"/>
    <n v="204.68"/>
    <n v="44.46"/>
  </r>
  <r>
    <s v="STR004"/>
    <s v="Bengaluru"/>
    <s v="CUST095"/>
    <s v="Ian"/>
    <s v="26-35"/>
    <s v="Male"/>
    <s v="South"/>
    <s v="Clothing"/>
    <x v="15"/>
    <s v="7/18/2025"/>
    <n v="7"/>
    <n v="387.66"/>
    <n v="0.28000000000000003"/>
    <n v="1953.81"/>
    <n v="408.28"/>
  </r>
  <r>
    <s v="STR002"/>
    <s v="Mumbai"/>
    <s v="CUST096"/>
    <s v="Ian"/>
    <s v="18-25"/>
    <s v="Male"/>
    <s v="North"/>
    <s v="Books"/>
    <x v="5"/>
    <s v="4/23/2025"/>
    <n v="1"/>
    <n v="192.53"/>
    <n v="0.28999999999999998"/>
    <n v="136.69999999999999"/>
    <n v="35.43"/>
  </r>
  <r>
    <s v="STR008"/>
    <s v="Ahmedabad"/>
    <s v="CUST097"/>
    <s v="Julia"/>
    <s v="46-60"/>
    <s v="Female"/>
    <s v="North"/>
    <s v="Furniture"/>
    <x v="14"/>
    <s v="3/24/2025"/>
    <n v="8"/>
    <n v="177.48"/>
    <n v="0.01"/>
    <n v="1405.64"/>
    <n v="291.55"/>
  </r>
  <r>
    <s v="STR009"/>
    <s v="Jaipur"/>
    <s v="CUST098"/>
    <s v="Diana"/>
    <s v="26-35"/>
    <s v="Female"/>
    <s v="East"/>
    <s v="Electronics"/>
    <x v="4"/>
    <d v="2025-03-01T00:00:00"/>
    <n v="10"/>
    <n v="206.1"/>
    <n v="0.1"/>
    <n v="1854.9"/>
    <n v="368.28"/>
  </r>
  <r>
    <s v="STR003"/>
    <s v="Delhi"/>
    <s v="CUST099"/>
    <s v="George"/>
    <s v="18-25"/>
    <s v="Male"/>
    <s v="South"/>
    <s v="Furniture"/>
    <x v="10"/>
    <s v="7/21/2025"/>
    <n v="10"/>
    <n v="229.61"/>
    <n v="0.2"/>
    <n v="1836.88"/>
    <n v="417.41"/>
  </r>
  <r>
    <s v="STR007"/>
    <s v="Pune"/>
    <s v="CUST100"/>
    <s v="Fiona"/>
    <s v="26-35"/>
    <s v="Male"/>
    <s v="East"/>
    <s v="Books"/>
    <x v="12"/>
    <d v="2025-09-07T00:00:00"/>
    <n v="4"/>
    <n v="194.51"/>
    <n v="0.28000000000000003"/>
    <n v="560.19000000000005"/>
    <n v="152.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C81C589-FCB5-4071-988B-2DF578875D20}" name="Project_KP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E3" firstHeaderRow="0" firstDataRow="1" firstDataCol="0"/>
  <pivotFields count="22">
    <pivotField showAll="0"/>
    <pivotField showAll="0"/>
    <pivotField dataField="1" showAll="0"/>
    <pivotField showAll="0"/>
    <pivotField showAll="0"/>
    <pivotField showAll="0"/>
    <pivotField showAll="0">
      <items count="5">
        <item x="1"/>
        <item x="0"/>
        <item x="2"/>
        <item x="3"/>
        <item t="default"/>
      </items>
    </pivotField>
    <pivotField showAll="0">
      <items count="5">
        <item x="3"/>
        <item x="0"/>
        <item x="1"/>
        <item x="2"/>
        <item t="default"/>
      </items>
    </pivotField>
    <pivotField showAll="0"/>
    <pivotField dataField="1" showAll="0"/>
    <pivotField showAll="0"/>
    <pivotField dataField="1" showAll="0"/>
    <pivotField dataField="1" showAll="0"/>
    <pivotField dataField="1" showAll="0"/>
    <pivotField numFmtId="14" showAll="0"/>
    <pivotField showAll="0">
      <items count="3">
        <item h="1" x="1"/>
        <item x="0"/>
        <item t="default"/>
      </items>
    </pivotField>
    <pivotField showAll="0"/>
    <pivotField showAll="0"/>
    <pivotField showAll="0"/>
    <pivotField showAll="0"/>
    <pivotField showAll="0"/>
    <pivotField showAll="0"/>
  </pivotFields>
  <rowItems count="1">
    <i/>
  </rowItems>
  <colFields count="1">
    <field x="-2"/>
  </colFields>
  <colItems count="5">
    <i>
      <x/>
    </i>
    <i i="1">
      <x v="1"/>
    </i>
    <i i="2">
      <x v="2"/>
    </i>
    <i i="3">
      <x v="3"/>
    </i>
    <i i="4">
      <x v="4"/>
    </i>
  </colItems>
  <dataFields count="5">
    <dataField name="Sum of Total_Sales_Value" fld="12" baseField="0" baseItem="0" numFmtId="164"/>
    <dataField name="Sum of Quantity" fld="9" baseField="0" baseItem="0"/>
    <dataField name="Sum of Profit" fld="13" baseField="0" baseItem="0" numFmtId="164"/>
    <dataField name="Average of Discount" fld="11" subtotal="average" baseField="0" baseItem="0" numFmtId="165"/>
    <dataField name="Count of Customer_ID"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3C0207-3D8C-4DE4-8716-0814E0906768}" name="Scater_Chart"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Product name">
  <location ref="H52:J68" firstHeaderRow="0" firstDataRow="1" firstDataCol="1"/>
  <pivotFields count="15">
    <pivotField showAll="0"/>
    <pivotField showAll="0"/>
    <pivotField showAll="0"/>
    <pivotField showAll="0"/>
    <pivotField showAll="0"/>
    <pivotField showAll="0"/>
    <pivotField showAll="0"/>
    <pivotField showAll="0"/>
    <pivotField axis="axisRow" showAll="0">
      <items count="17">
        <item x="3"/>
        <item x="10"/>
        <item x="12"/>
        <item x="2"/>
        <item x="1"/>
        <item x="15"/>
        <item x="13"/>
        <item x="11"/>
        <item x="9"/>
        <item x="6"/>
        <item x="0"/>
        <item x="4"/>
        <item x="7"/>
        <item x="14"/>
        <item x="8"/>
        <item x="5"/>
        <item t="default"/>
      </items>
    </pivotField>
    <pivotField showAll="0"/>
    <pivotField showAll="0"/>
    <pivotField showAll="0"/>
    <pivotField showAll="0"/>
    <pivotField dataField="1" showAll="0"/>
    <pivotField dataField="1" showAll="0"/>
  </pivotFields>
  <rowFields count="1">
    <field x="8"/>
  </rowFields>
  <rowItems count="16">
    <i>
      <x/>
    </i>
    <i>
      <x v="1"/>
    </i>
    <i>
      <x v="2"/>
    </i>
    <i>
      <x v="3"/>
    </i>
    <i>
      <x v="4"/>
    </i>
    <i>
      <x v="5"/>
    </i>
    <i>
      <x v="6"/>
    </i>
    <i>
      <x v="7"/>
    </i>
    <i>
      <x v="8"/>
    </i>
    <i>
      <x v="9"/>
    </i>
    <i>
      <x v="10"/>
    </i>
    <i>
      <x v="11"/>
    </i>
    <i>
      <x v="12"/>
    </i>
    <i>
      <x v="13"/>
    </i>
    <i>
      <x v="14"/>
    </i>
    <i>
      <x v="15"/>
    </i>
  </rowItems>
  <colFields count="1">
    <field x="-2"/>
  </colFields>
  <colItems count="2">
    <i>
      <x/>
    </i>
    <i i="1">
      <x v="1"/>
    </i>
  </colItems>
  <dataFields count="2">
    <dataField name="#_Sales" fld="13" baseField="8" baseItem="0"/>
    <dataField name="#_Profit" fld="14" baseField="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EA3322-A518-4396-BD22-FD313D4E4DF2}" name="Product_Level"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S51:T68" firstHeaderRow="1" firstDataRow="1" firstDataCol="1"/>
  <pivotFields count="22">
    <pivotField showAll="0"/>
    <pivotField showAll="0"/>
    <pivotField showAll="0"/>
    <pivotField showAll="0"/>
    <pivotField showAll="0"/>
    <pivotField showAll="0"/>
    <pivotField showAll="0">
      <items count="5">
        <item x="1"/>
        <item x="0"/>
        <item x="2"/>
        <item x="3"/>
        <item t="default"/>
      </items>
    </pivotField>
    <pivotField showAll="0">
      <items count="5">
        <item x="3"/>
        <item x="0"/>
        <item x="1"/>
        <item x="2"/>
        <item t="default"/>
      </items>
    </pivotField>
    <pivotField axis="axisRow" showAll="0">
      <items count="17">
        <item x="3"/>
        <item x="10"/>
        <item x="12"/>
        <item x="2"/>
        <item x="1"/>
        <item x="15"/>
        <item x="13"/>
        <item x="11"/>
        <item x="9"/>
        <item x="6"/>
        <item x="0"/>
        <item x="4"/>
        <item x="7"/>
        <item x="14"/>
        <item x="8"/>
        <item x="5"/>
        <item t="default"/>
      </items>
    </pivotField>
    <pivotField showAll="0"/>
    <pivotField showAll="0"/>
    <pivotField showAll="0"/>
    <pivotField dataField="1" showAll="0"/>
    <pivotField showAll="0"/>
    <pivotField numFmtId="14" showAll="0"/>
    <pivotField showAll="0">
      <items count="3">
        <item h="1" x="1"/>
        <item x="0"/>
        <item t="default"/>
      </items>
    </pivotField>
    <pivotField showAll="0"/>
    <pivotField showAll="0"/>
    <pivotField showAll="0"/>
    <pivotField showAll="0"/>
    <pivotField showAll="0"/>
    <pivotField showAll="0"/>
  </pivotFields>
  <rowFields count="1">
    <field x="8"/>
  </rowFields>
  <rowItems count="17">
    <i>
      <x/>
    </i>
    <i>
      <x v="1"/>
    </i>
    <i>
      <x v="2"/>
    </i>
    <i>
      <x v="3"/>
    </i>
    <i>
      <x v="4"/>
    </i>
    <i>
      <x v="5"/>
    </i>
    <i>
      <x v="6"/>
    </i>
    <i>
      <x v="7"/>
    </i>
    <i>
      <x v="8"/>
    </i>
    <i>
      <x v="9"/>
    </i>
    <i>
      <x v="10"/>
    </i>
    <i>
      <x v="11"/>
    </i>
    <i>
      <x v="12"/>
    </i>
    <i>
      <x v="13"/>
    </i>
    <i>
      <x v="14"/>
    </i>
    <i>
      <x v="15"/>
    </i>
    <i t="grand">
      <x/>
    </i>
  </rowItems>
  <colItems count="1">
    <i/>
  </colItems>
  <dataFields count="1">
    <dataField name="#_Sales" fld="12" baseField="8" baseItem="0" numFmtId="166"/>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FF49E2E-2586-4DC1-B044-A74F80D34F05}" name="Age_Group_Char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S32:V38" firstHeaderRow="1" firstDataRow="2" firstDataCol="1"/>
  <pivotFields count="22">
    <pivotField showAll="0"/>
    <pivotField showAll="0"/>
    <pivotField showAll="0"/>
    <pivotField showAll="0"/>
    <pivotField axis="axisRow" showAll="0">
      <items count="5">
        <item x="3"/>
        <item x="1"/>
        <item x="2"/>
        <item x="0"/>
        <item t="default"/>
      </items>
    </pivotField>
    <pivotField axis="axisCol" showAll="0">
      <items count="3">
        <item x="0"/>
        <item x="1"/>
        <item t="default"/>
      </items>
    </pivotField>
    <pivotField showAll="0">
      <items count="5">
        <item x="1"/>
        <item x="0"/>
        <item x="2"/>
        <item x="3"/>
        <item t="default"/>
      </items>
    </pivotField>
    <pivotField showAll="0">
      <items count="5">
        <item x="3"/>
        <item x="0"/>
        <item x="1"/>
        <item x="2"/>
        <item t="default"/>
      </items>
    </pivotField>
    <pivotField showAll="0"/>
    <pivotField showAll="0"/>
    <pivotField showAll="0"/>
    <pivotField showAll="0"/>
    <pivotField dataField="1" showAll="0"/>
    <pivotField showAll="0"/>
    <pivotField numFmtId="14" showAll="0"/>
    <pivotField showAll="0">
      <items count="3">
        <item h="1" x="1"/>
        <item x="0"/>
        <item t="default"/>
      </items>
    </pivotField>
    <pivotField showAll="0"/>
    <pivotField showAll="0"/>
    <pivotField showAll="0"/>
    <pivotField showAll="0"/>
    <pivotField showAll="0"/>
    <pivotField showAll="0"/>
  </pivotFields>
  <rowFields count="1">
    <field x="4"/>
  </rowFields>
  <rowItems count="5">
    <i>
      <x/>
    </i>
    <i>
      <x v="1"/>
    </i>
    <i>
      <x v="2"/>
    </i>
    <i>
      <x v="3"/>
    </i>
    <i t="grand">
      <x/>
    </i>
  </rowItems>
  <colFields count="1">
    <field x="5"/>
  </colFields>
  <colItems count="3">
    <i>
      <x/>
    </i>
    <i>
      <x v="1"/>
    </i>
    <i t="grand">
      <x/>
    </i>
  </colItems>
  <dataFields count="1">
    <dataField name="Sum of Total_Sales_Value" fld="12" baseField="0" baseItem="0" numFmtId="166"/>
  </dataFields>
  <chartFormats count="6">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2">
          <reference field="4294967294" count="1" selected="0">
            <x v="0"/>
          </reference>
          <reference field="5" count="1" selected="0">
            <x v="1"/>
          </reference>
        </references>
      </pivotArea>
    </chartFormat>
    <chartFormat chart="4" format="4">
      <pivotArea type="data" outline="0" fieldPosition="0">
        <references count="3">
          <reference field="4294967294" count="1" selected="0">
            <x v="0"/>
          </reference>
          <reference field="4" count="1" selected="0">
            <x v="0"/>
          </reference>
          <reference field="5" count="1" selected="0">
            <x v="0"/>
          </reference>
        </references>
      </pivotArea>
    </chartFormat>
    <chartFormat chart="4" format="5"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0B26A6A-734F-480D-A978-D4F603CE9D47}" name="Region-Vs_Categor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
  <location ref="B28:F33" firstHeaderRow="1" firstDataRow="2" firstDataCol="1"/>
  <pivotFields count="22">
    <pivotField showAll="0"/>
    <pivotField showAll="0"/>
    <pivotField showAll="0"/>
    <pivotField showAll="0"/>
    <pivotField showAll="0"/>
    <pivotField showAll="0"/>
    <pivotField axis="axisRow" showAll="0">
      <items count="5">
        <item x="1"/>
        <item x="0"/>
        <item x="2"/>
        <item x="3"/>
        <item t="default"/>
      </items>
    </pivotField>
    <pivotField axis="axisCol" showAll="0">
      <items count="5">
        <item x="3"/>
        <item x="0"/>
        <item x="1"/>
        <item x="2"/>
        <item t="default"/>
      </items>
    </pivotField>
    <pivotField showAll="0"/>
    <pivotField showAll="0"/>
    <pivotField showAll="0"/>
    <pivotField showAll="0"/>
    <pivotField dataField="1" showAll="0"/>
    <pivotField showAll="0"/>
    <pivotField numFmtId="14" showAll="0"/>
    <pivotField showAll="0">
      <items count="3">
        <item h="1" x="1"/>
        <item x="0"/>
        <item t="default"/>
      </items>
    </pivotField>
    <pivotField showAll="0"/>
    <pivotField showAll="0"/>
    <pivotField showAll="0"/>
    <pivotField showAll="0"/>
    <pivotField showAll="0"/>
    <pivotField showAll="0"/>
  </pivotFields>
  <rowFields count="1">
    <field x="6"/>
  </rowFields>
  <rowItems count="4">
    <i>
      <x/>
    </i>
    <i>
      <x v="1"/>
    </i>
    <i>
      <x v="2"/>
    </i>
    <i>
      <x v="3"/>
    </i>
  </rowItems>
  <colFields count="1">
    <field x="7"/>
  </colFields>
  <colItems count="4">
    <i>
      <x/>
    </i>
    <i>
      <x v="1"/>
    </i>
    <i>
      <x v="2"/>
    </i>
    <i>
      <x v="3"/>
    </i>
  </colItems>
  <dataFields count="1">
    <dataField name="Sum of Total_Sales_Value" fld="12" showDataAs="percentOfRow"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05D517F-3EB5-4593-91D8-D464727AECC5}" name="Time_Trend_Chart"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J3:L15" firstHeaderRow="0" firstDataRow="1" firstDataCol="1"/>
  <pivotFields count="22">
    <pivotField showAll="0"/>
    <pivotField showAll="0"/>
    <pivotField showAll="0"/>
    <pivotField showAll="0"/>
    <pivotField showAll="0"/>
    <pivotField showAll="0"/>
    <pivotField showAll="0">
      <items count="5">
        <item x="1"/>
        <item x="0"/>
        <item x="2"/>
        <item x="3"/>
        <item t="default"/>
      </items>
    </pivotField>
    <pivotField showAll="0">
      <items count="5">
        <item x="3"/>
        <item x="0"/>
        <item x="1"/>
        <item x="2"/>
        <item t="default"/>
      </items>
    </pivotField>
    <pivotField showAll="0"/>
    <pivotField dataField="1" showAll="0"/>
    <pivotField showAll="0"/>
    <pivotField showAll="0"/>
    <pivotField dataField="1" showAll="0"/>
    <pivotField showAll="0"/>
    <pivotField numFmtId="14" showAll="0"/>
    <pivotField showAll="0">
      <items count="3">
        <item h="1" x="1"/>
        <item x="0"/>
        <item t="default"/>
      </items>
    </pivotField>
    <pivotField showAll="0"/>
    <pivotField axis="axisRow" showAll="0">
      <items count="13">
        <item x="4"/>
        <item x="11"/>
        <item x="3"/>
        <item x="7"/>
        <item x="2"/>
        <item x="5"/>
        <item x="8"/>
        <item x="1"/>
        <item x="9"/>
        <item x="0"/>
        <item x="6"/>
        <item x="10"/>
        <item t="default"/>
      </items>
    </pivotField>
    <pivotField showAll="0"/>
    <pivotField showAll="0"/>
    <pivotField showAll="0"/>
    <pivotField showAll="0"/>
  </pivotFields>
  <rowFields count="1">
    <field x="17"/>
  </rowFields>
  <rowItems count="12">
    <i>
      <x/>
    </i>
    <i>
      <x v="1"/>
    </i>
    <i>
      <x v="2"/>
    </i>
    <i>
      <x v="3"/>
    </i>
    <i>
      <x v="4"/>
    </i>
    <i>
      <x v="5"/>
    </i>
    <i>
      <x v="6"/>
    </i>
    <i>
      <x v="7"/>
    </i>
    <i>
      <x v="8"/>
    </i>
    <i>
      <x v="9"/>
    </i>
    <i>
      <x v="10"/>
    </i>
    <i>
      <x v="11"/>
    </i>
  </rowItems>
  <colFields count="1">
    <field x="-2"/>
  </colFields>
  <colItems count="2">
    <i>
      <x/>
    </i>
    <i i="1">
      <x v="1"/>
    </i>
  </colItems>
  <dataFields count="2">
    <dataField name="#_Sales" fld="12" baseField="17" baseItem="0"/>
    <dataField name="#_Quantity" fld="9" baseField="17" baseItem="0"/>
  </dataFields>
  <chartFormats count="6">
    <chartFormat chart="4" format="2" series="1">
      <pivotArea type="data" outline="0" fieldPosition="0">
        <references count="1">
          <reference field="4294967294" count="1" selected="0">
            <x v="1"/>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D3E3EAF-37E6-4143-9F81-F450D69B045E}" name="year_Char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B12" firstHeaderRow="1" firstDataRow="1" firstDataCol="1"/>
  <pivotFields count="22">
    <pivotField showAll="0"/>
    <pivotField showAll="0"/>
    <pivotField showAll="0"/>
    <pivotField showAll="0"/>
    <pivotField showAll="0"/>
    <pivotField showAll="0"/>
    <pivotField showAll="0">
      <items count="5">
        <item x="1"/>
        <item x="0"/>
        <item x="2"/>
        <item x="3"/>
        <item t="default"/>
      </items>
    </pivotField>
    <pivotField showAll="0">
      <items count="5">
        <item x="3"/>
        <item x="0"/>
        <item x="1"/>
        <item x="2"/>
        <item t="default"/>
      </items>
    </pivotField>
    <pivotField showAll="0"/>
    <pivotField showAll="0"/>
    <pivotField showAll="0"/>
    <pivotField showAll="0"/>
    <pivotField dataField="1" showAll="0"/>
    <pivotField showAll="0"/>
    <pivotField numFmtId="14" showAll="0"/>
    <pivotField axis="axisRow" showAll="0">
      <items count="3">
        <item h="1" x="1"/>
        <item x="0"/>
        <item t="default"/>
      </items>
    </pivotField>
    <pivotField showAll="0"/>
    <pivotField showAll="0"/>
    <pivotField showAll="0"/>
    <pivotField showAll="0"/>
    <pivotField showAll="0"/>
    <pivotField showAll="0"/>
  </pivotFields>
  <rowFields count="1">
    <field x="15"/>
  </rowFields>
  <rowItems count="2">
    <i>
      <x v="1"/>
    </i>
    <i t="grand">
      <x/>
    </i>
  </rowItems>
  <colItems count="1">
    <i/>
  </colItems>
  <dataFields count="1">
    <dataField name="Sum of Total_Sales_Value"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041C33B-CA38-437E-8BC7-8A6CD6FAD2CD}" name="Stoer_Wise_Chart"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Location">
  <location ref="A65:B75" firstHeaderRow="1" firstDataRow="1" firstDataCol="1"/>
  <pivotFields count="22">
    <pivotField showAll="0"/>
    <pivotField axis="axisRow" showAll="0">
      <items count="11">
        <item x="4"/>
        <item x="1"/>
        <item x="8"/>
        <item x="3"/>
        <item x="7"/>
        <item x="6"/>
        <item x="2"/>
        <item x="0"/>
        <item x="5"/>
        <item x="9"/>
        <item t="default"/>
      </items>
    </pivotField>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showAll="0">
      <items count="5">
        <item x="1"/>
        <item x="0"/>
        <item x="2"/>
        <item x="3"/>
        <item t="default"/>
      </items>
    </pivotField>
    <pivotField showAll="0">
      <items count="5">
        <item x="3"/>
        <item x="0"/>
        <item x="1"/>
        <item x="2"/>
        <item t="default"/>
      </items>
    </pivotField>
    <pivotField showAll="0"/>
    <pivotField showAll="0"/>
    <pivotField showAll="0"/>
    <pivotField showAll="0"/>
    <pivotField dataField="1" showAll="0"/>
    <pivotField showAll="0"/>
    <pivotField numFmtId="14" showAll="0"/>
    <pivotField showAll="0">
      <items count="3">
        <item h="1" x="1"/>
        <item x="0"/>
        <item t="default"/>
      </items>
    </pivotField>
    <pivotField showAll="0"/>
    <pivotField showAll="0"/>
    <pivotField showAll="0"/>
    <pivotField showAll="0"/>
    <pivotField showAll="0"/>
    <pivotField showAll="0"/>
  </pivotFields>
  <rowFields count="1">
    <field x="1"/>
  </rowFields>
  <rowItems count="10">
    <i>
      <x/>
    </i>
    <i>
      <x v="1"/>
    </i>
    <i>
      <x v="2"/>
    </i>
    <i>
      <x v="3"/>
    </i>
    <i>
      <x v="4"/>
    </i>
    <i>
      <x v="5"/>
    </i>
    <i>
      <x v="6"/>
    </i>
    <i>
      <x v="7"/>
    </i>
    <i>
      <x v="8"/>
    </i>
    <i>
      <x v="9"/>
    </i>
  </rowItems>
  <colItems count="1">
    <i/>
  </colItems>
  <dataFields count="1">
    <dataField name="#_Sales" fld="12" baseField="1" baseItem="0" numFmtId="166"/>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E6F971B-249D-4389-8554-2202867BF2C6}" name="F_M_Donut_"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B5:C8" firstHeaderRow="1" firstDataRow="1" firstDataCol="1"/>
  <pivotFields count="22">
    <pivotField showAll="0"/>
    <pivotField showAll="0"/>
    <pivotField showAll="0"/>
    <pivotField showAll="0"/>
    <pivotField showAll="0"/>
    <pivotField axis="axisRow" showAll="0">
      <items count="3">
        <item x="0"/>
        <item x="1"/>
        <item t="default"/>
      </items>
    </pivotField>
    <pivotField showAll="0">
      <items count="5">
        <item x="1"/>
        <item x="0"/>
        <item x="2"/>
        <item x="3"/>
        <item t="default"/>
      </items>
    </pivotField>
    <pivotField showAll="0">
      <items count="5">
        <item x="3"/>
        <item x="0"/>
        <item x="1"/>
        <item x="2"/>
        <item t="default"/>
      </items>
    </pivotField>
    <pivotField showAll="0"/>
    <pivotField showAll="0"/>
    <pivotField showAll="0"/>
    <pivotField showAll="0"/>
    <pivotField dataField="1" showAll="0"/>
    <pivotField showAll="0"/>
    <pivotField numFmtId="14" showAll="0"/>
    <pivotField showAll="0">
      <items count="3">
        <item h="1" x="1"/>
        <item x="0"/>
        <item t="default"/>
      </items>
    </pivotField>
    <pivotField showAll="0"/>
    <pivotField showAll="0"/>
    <pivotField showAll="0"/>
    <pivotField showAll="0"/>
    <pivotField showAll="0"/>
    <pivotField showAll="0"/>
  </pivotFields>
  <rowFields count="1">
    <field x="5"/>
  </rowFields>
  <rowItems count="3">
    <i>
      <x/>
    </i>
    <i>
      <x v="1"/>
    </i>
    <i t="grand">
      <x/>
    </i>
  </rowItems>
  <colItems count="1">
    <i/>
  </colItems>
  <dataFields count="1">
    <dataField name="Sum of Total_Sales_Value" fld="12" baseField="0" baseItem="0"/>
  </dataFields>
  <chartFormats count="3">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5" count="1" selected="0">
            <x v="0"/>
          </reference>
        </references>
      </pivotArea>
    </chartFormat>
    <chartFormat chart="4" format="8">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21D6888-F7E2-4808-8F24-50EA5532004B}" name="Cat_Vs_Gende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B52:E58" firstHeaderRow="1" firstDataRow="2" firstDataCol="1"/>
  <pivotFields count="22">
    <pivotField showAll="0"/>
    <pivotField showAll="0"/>
    <pivotField showAll="0"/>
    <pivotField showAll="0"/>
    <pivotField showAll="0"/>
    <pivotField axis="axisCol" showAll="0">
      <items count="3">
        <item x="0"/>
        <item x="1"/>
        <item t="default"/>
      </items>
    </pivotField>
    <pivotField showAll="0">
      <items count="5">
        <item x="1"/>
        <item x="0"/>
        <item x="2"/>
        <item x="3"/>
        <item t="default"/>
      </items>
    </pivotField>
    <pivotField axis="axisRow" showAll="0">
      <items count="5">
        <item x="3"/>
        <item x="0"/>
        <item x="1"/>
        <item x="2"/>
        <item t="default"/>
      </items>
    </pivotField>
    <pivotField showAll="0"/>
    <pivotField showAll="0"/>
    <pivotField showAll="0"/>
    <pivotField showAll="0"/>
    <pivotField dataField="1" showAll="0"/>
    <pivotField showAll="0"/>
    <pivotField numFmtId="14" showAll="0"/>
    <pivotField showAll="0">
      <items count="3">
        <item h="1" x="1"/>
        <item x="0"/>
        <item t="default"/>
      </items>
    </pivotField>
    <pivotField showAll="0"/>
    <pivotField showAll="0"/>
    <pivotField showAll="0"/>
    <pivotField showAll="0"/>
    <pivotField showAll="0"/>
    <pivotField showAll="0"/>
  </pivotFields>
  <rowFields count="1">
    <field x="7"/>
  </rowFields>
  <rowItems count="5">
    <i>
      <x/>
    </i>
    <i>
      <x v="1"/>
    </i>
    <i>
      <x v="2"/>
    </i>
    <i>
      <x v="3"/>
    </i>
    <i t="grand">
      <x/>
    </i>
  </rowItems>
  <colFields count="1">
    <field x="5"/>
  </colFields>
  <colItems count="3">
    <i>
      <x/>
    </i>
    <i>
      <x v="1"/>
    </i>
    <i t="grand">
      <x/>
    </i>
  </colItems>
  <dataFields count="1">
    <dataField name="Sum of Total_Sales_Value" fld="12" baseField="0" baseItem="0"/>
  </dataFields>
  <chartFormats count="2">
    <chartFormat chart="8" format="5" series="1">
      <pivotArea type="data" outline="0" fieldPosition="0">
        <references count="2">
          <reference field="4294967294" count="1" selected="0">
            <x v="0"/>
          </reference>
          <reference field="5" count="1" selected="0">
            <x v="0"/>
          </reference>
        </references>
      </pivotArea>
    </chartFormat>
    <chartFormat chart="8" format="6"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30EBEC4-8D74-44AE-985F-C47417BC9346}" autoFormatId="16" applyNumberFormats="0" applyBorderFormats="0" applyFontFormats="0" applyPatternFormats="0" applyAlignmentFormats="0" applyWidthHeightFormats="0">
  <queryTableRefresh nextId="23">
    <queryTableFields count="22">
      <queryTableField id="1" name="Store_ID" tableColumnId="1"/>
      <queryTableField id="2" name="Store_Location" tableColumnId="2"/>
      <queryTableField id="3" name="Customer_ID" tableColumnId="3"/>
      <queryTableField id="4" name="Customer_Name" tableColumnId="4"/>
      <queryTableField id="5" name="Age_Group" tableColumnId="5"/>
      <queryTableField id="6" name="Gender" tableColumnId="6"/>
      <queryTableField id="7" name="Region" tableColumnId="7"/>
      <queryTableField id="8" name="Product_Category" tableColumnId="8"/>
      <queryTableField id="9" name="Product_Name" tableColumnId="9"/>
      <queryTableField id="10" name="Quantity" tableColumnId="10"/>
      <queryTableField id="11" name="Unit_Price" tableColumnId="11"/>
      <queryTableField id="12" name="Discount" tableColumnId="12"/>
      <queryTableField id="13" name="Total_Sales_Value" tableColumnId="13"/>
      <queryTableField id="14" name="Profit" tableColumnId="14"/>
      <queryTableField id="15" name="Order_Date" tableColumnId="15"/>
      <queryTableField id="16" name="Year" tableColumnId="16"/>
      <queryTableField id="17" name="Month" tableColumnId="17"/>
      <queryTableField id="18" name="Month Name" tableColumnId="18"/>
      <queryTableField id="19" name="Quarter" tableColumnId="19"/>
      <queryTableField id="20" name="Week of Month" tableColumnId="20"/>
      <queryTableField id="21" name="Day of Week" tableColumnId="21"/>
      <queryTableField id="22" name="Day Name" tableColumnId="2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5A195D0-B9AC-4779-A25B-0E609F70654A}" sourceName="Region">
  <pivotTables>
    <pivotTable tabId="3" name="Age_Group_Chart"/>
    <pivotTable tabId="3" name="Cat_Vs_Gender"/>
    <pivotTable tabId="3" name="F_M_Donut_"/>
    <pivotTable tabId="3" name="Product_Level"/>
    <pivotTable tabId="3" name="Project_KPI"/>
    <pivotTable tabId="3" name="Stoer_Wise_Chart"/>
    <pivotTable tabId="3" name="Time_Trend_Chart"/>
    <pivotTable tabId="3" name="year_Chart"/>
  </pivotTables>
  <data>
    <tabular pivotCacheId="1783965019">
      <items count="4">
        <i x="1"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01146394-B75C-42C5-B024-90F6D44E7A0C}" sourceName="Product_Category">
  <pivotTables>
    <pivotTable tabId="3" name="Age_Group_Chart"/>
    <pivotTable tabId="3" name="F_M_Donut_"/>
    <pivotTable tabId="3" name="Product_Level"/>
    <pivotTable tabId="3" name="Project_KPI"/>
    <pivotTable tabId="3" name="Stoer_Wise_Chart"/>
    <pivotTable tabId="3" name="Time_Trend_Chart"/>
    <pivotTable tabId="3" name="year_Chart"/>
  </pivotTables>
  <data>
    <tabular pivotCacheId="1783965019">
      <items count="4">
        <i x="3" s="1"/>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6492F4F-014B-4FF4-855B-319EF5D0A617}" sourceName="Year">
  <pivotTables>
    <pivotTable tabId="3" name="year_Chart"/>
    <pivotTable tabId="3" name="Age_Group_Chart"/>
    <pivotTable tabId="3" name="Cat_Vs_Gender"/>
    <pivotTable tabId="3" name="F_M_Donut_"/>
    <pivotTable tabId="3" name="Product_Level"/>
    <pivotTable tabId="3" name="Project_KPI"/>
    <pivotTable tabId="3" name="Region-Vs_Category"/>
    <pivotTable tabId="3" name="Stoer_Wise_Chart"/>
    <pivotTable tabId="3" name="Time_Trend_Chart"/>
  </pivotTables>
  <data>
    <tabular pivotCacheId="1783965019">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E7EE898-D0C8-4939-8F30-76E378DC7963}" cache="Slicer_Region" caption="Region" columnCount="2" rowHeight="180000"/>
  <slicer name="Product_Category" xr10:uid="{346F59A2-C8D9-47CA-BC51-CC43EBF9F88B}" cache="Slicer_Product_Category" caption="Product_Category" columnCount="2" rowHeight="180000"/>
  <slicer name="Year" xr10:uid="{655CF074-B068-4669-ACF6-052AFAC7F703}" cache="Slicer_Year" caption="Year" columnCount="2" rowHeight="252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974CF4-B2C9-4E62-9A4A-95DA333644CF}" name="CL_Data" displayName="CL_Data" ref="A1:O101" totalsRowShown="0" headerRowDxfId="28" dataDxfId="27">
  <autoFilter ref="A1:O101" xr:uid="{F2974CF4-B2C9-4E62-9A4A-95DA333644CF}"/>
  <tableColumns count="15">
    <tableColumn id="1" xr3:uid="{68525DA5-A7A2-49E3-813F-D53CABD39754}" name="Store_ID" dataDxfId="26"/>
    <tableColumn id="2" xr3:uid="{FEB1538A-861A-4199-AE30-C22D1EA7CE61}" name="Store_Location" dataDxfId="25"/>
    <tableColumn id="3" xr3:uid="{7CBA7E0D-6BCF-4D7E-B1C5-3994823CA590}" name="Customer_ID" dataDxfId="24"/>
    <tableColumn id="4" xr3:uid="{7641D588-7EB2-4CFC-8792-4BBF25763DCB}" name="Customer_Name" dataDxfId="23"/>
    <tableColumn id="5" xr3:uid="{4E923568-B904-4B87-AD7E-90956D5B90E3}" name="Age_Group" dataDxfId="22"/>
    <tableColumn id="6" xr3:uid="{038E4D61-3FDD-45DA-83BA-1CC7DB65ADD2}" name="Gender" dataDxfId="21"/>
    <tableColumn id="7" xr3:uid="{7862A465-4ABD-4A46-93DA-67F377C736D3}" name="Region" dataDxfId="20"/>
    <tableColumn id="8" xr3:uid="{B85EC74D-3502-4FF6-8B1F-10B6AB0F88CF}" name="Product_Category" dataDxfId="19"/>
    <tableColumn id="9" xr3:uid="{54439731-8E43-43D4-BAA7-0C4877C81A34}" name="Product_Name" dataDxfId="18"/>
    <tableColumn id="10" xr3:uid="{E5A18866-6388-4AD7-9725-3FF823C54566}" name="Order_Date" dataDxfId="17"/>
    <tableColumn id="11" xr3:uid="{BE781540-80CC-4A1D-ABA6-7F7406166355}" name="Quantity" dataDxfId="16"/>
    <tableColumn id="12" xr3:uid="{335D9E46-5FD5-4084-A69F-D4F6F77FBFF0}" name="Unit_Price" dataDxfId="15"/>
    <tableColumn id="13" xr3:uid="{B309A169-0AD3-43FF-813C-4DEBBBD4E36F}" name="Discount" dataDxfId="14"/>
    <tableColumn id="14" xr3:uid="{8C10A54E-AC96-4233-AD6D-0E7A99188C3D}" name="Total_Sales_Value" dataDxfId="13"/>
    <tableColumn id="15" xr3:uid="{6222C5B0-C6F0-4F0F-880B-2213AE29158C}" name="Profit"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F07278-0248-4732-953A-6D5129BB6704}" name="CL_Data_" displayName="CL_Data_" ref="A1:V101" tableType="queryTable" totalsRowShown="0">
  <autoFilter ref="A1:V101" xr:uid="{0FF07278-0248-4732-953A-6D5129BB6704}">
    <filterColumn colId="6">
      <filters>
        <filter val="North"/>
      </filters>
    </filterColumn>
  </autoFilter>
  <tableColumns count="22">
    <tableColumn id="1" xr3:uid="{4970E1E8-70E8-400A-9ADC-DADAAC8500E6}" uniqueName="1" name="Store_ID" queryTableFieldId="1" dataDxfId="11"/>
    <tableColumn id="2" xr3:uid="{4D2D6921-264C-403C-861B-EC7E0EDDECB2}" uniqueName="2" name="Store_Location" queryTableFieldId="2" dataDxfId="10"/>
    <tableColumn id="3" xr3:uid="{F00B0B94-0988-4FD6-97FA-94A4174DD314}" uniqueName="3" name="Customer_ID" queryTableFieldId="3" dataDxfId="9"/>
    <tableColumn id="4" xr3:uid="{80822D11-651A-42EB-91B5-EFAB4DF2B2FF}" uniqueName="4" name="Customer_Name" queryTableFieldId="4" dataDxfId="8"/>
    <tableColumn id="5" xr3:uid="{38229388-6EBE-4314-814E-C04D7FBC6AEC}" uniqueName="5" name="Age_Group" queryTableFieldId="5" dataDxfId="7"/>
    <tableColumn id="6" xr3:uid="{E9AC553B-689C-467B-B82C-2ED22C51A620}" uniqueName="6" name="Gender" queryTableFieldId="6" dataDxfId="6"/>
    <tableColumn id="7" xr3:uid="{F2604FD0-FBA9-4850-B38E-C0E6371DE610}" uniqueName="7" name="Region" queryTableFieldId="7" dataDxfId="5"/>
    <tableColumn id="8" xr3:uid="{F3372C4E-83B3-4B2B-8084-3431D4EB9F50}" uniqueName="8" name="Product_Category" queryTableFieldId="8" dataDxfId="4"/>
    <tableColumn id="9" xr3:uid="{757A78FF-EC32-46E2-9149-3C68E4B7E3CB}" uniqueName="9" name="Product_Name" queryTableFieldId="9" dataDxfId="3"/>
    <tableColumn id="10" xr3:uid="{CF3656FC-300D-4969-BF00-ED4F4DE8C46D}" uniqueName="10" name="Quantity" queryTableFieldId="10"/>
    <tableColumn id="11" xr3:uid="{78199CB5-35B5-467C-B809-B04F3AE91FBC}" uniqueName="11" name="Unit_Price" queryTableFieldId="11"/>
    <tableColumn id="12" xr3:uid="{A718091D-A30B-4659-A33E-10599CDDB970}" uniqueName="12" name="Discount" queryTableFieldId="12"/>
    <tableColumn id="13" xr3:uid="{867A92D9-07A5-434D-BCF3-5C0A6EFDEC2F}" uniqueName="13" name="Total_Sales_Value" queryTableFieldId="13"/>
    <tableColumn id="14" xr3:uid="{CB3D6DD9-F554-4893-A64A-2AF0A8B031E7}" uniqueName="14" name="Profit" queryTableFieldId="14"/>
    <tableColumn id="15" xr3:uid="{34D6A871-7E22-4CA7-A035-0F1A5774E25E}" uniqueName="15" name="Order_Date" queryTableFieldId="15" dataDxfId="0"/>
    <tableColumn id="16" xr3:uid="{B4E48033-D472-47EC-8EB4-DCA14C7AF37D}" uniqueName="16" name="Year" queryTableFieldId="16"/>
    <tableColumn id="17" xr3:uid="{FD3B4242-07E3-4737-9264-441E333FE398}" uniqueName="17" name="Month" queryTableFieldId="17"/>
    <tableColumn id="18" xr3:uid="{0C209E17-B1A7-42F7-8765-C3C80175DEE9}" uniqueName="18" name="Month Name" queryTableFieldId="18" dataDxfId="2"/>
    <tableColumn id="19" xr3:uid="{83B8A95B-DFD8-46AC-BAE5-DD7C4A6BA089}" uniqueName="19" name="Quarter" queryTableFieldId="19"/>
    <tableColumn id="20" xr3:uid="{201D47B0-6748-4C93-A14E-45B2EA2E195E}" uniqueName="20" name="Week of Month" queryTableFieldId="20"/>
    <tableColumn id="21" xr3:uid="{E5D72B5B-D9FB-44EB-B72B-EC171D09FC8E}" uniqueName="21" name="Day of Week" queryTableFieldId="21"/>
    <tableColumn id="22" xr3:uid="{D72ED888-6C23-468B-9E4D-B58291102AE3}" uniqueName="22" name="Day Name" queryTableFieldId="22"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14544-0238-4346-B28B-E25652747C00}">
  <dimension ref="A1:O101"/>
  <sheetViews>
    <sheetView topLeftCell="A2" workbookViewId="0">
      <selection activeCell="D25" sqref="A2:O101"/>
    </sheetView>
  </sheetViews>
  <sheetFormatPr defaultRowHeight="14.4" x14ac:dyDescent="0.3"/>
  <cols>
    <col min="1" max="1" width="9.88671875" customWidth="1"/>
    <col min="2" max="2" width="15.21875" customWidth="1"/>
    <col min="3" max="3" width="13.5546875" customWidth="1"/>
    <col min="4" max="4" width="16.77734375" customWidth="1"/>
    <col min="5" max="5" width="11.77734375" customWidth="1"/>
    <col min="6" max="6" width="9" customWidth="1"/>
    <col min="7" max="7" width="8.44140625" customWidth="1"/>
    <col min="8" max="8" width="17.5546875" customWidth="1"/>
    <col min="9" max="9" width="15.21875" customWidth="1"/>
    <col min="10" max="10" width="12.33203125" customWidth="1"/>
    <col min="11" max="11" width="10" customWidth="1"/>
    <col min="12" max="12" width="11.44140625" customWidth="1"/>
    <col min="13" max="13" width="10.21875" customWidth="1"/>
    <col min="14" max="14" width="17.77734375" customWidth="1"/>
    <col min="15" max="15" width="7.44140625" customWidth="1"/>
  </cols>
  <sheetData>
    <row r="1" spans="1:15"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row>
    <row r="2" spans="1:15" x14ac:dyDescent="0.3">
      <c r="A2" s="1" t="s">
        <v>15</v>
      </c>
      <c r="B2" s="1" t="s">
        <v>16</v>
      </c>
      <c r="C2" s="1" t="s">
        <v>17</v>
      </c>
      <c r="D2" s="1" t="s">
        <v>18</v>
      </c>
      <c r="E2" s="1" t="s">
        <v>19</v>
      </c>
      <c r="F2" s="1" t="s">
        <v>20</v>
      </c>
      <c r="G2" s="1" t="s">
        <v>21</v>
      </c>
      <c r="H2" s="1" t="s">
        <v>22</v>
      </c>
      <c r="I2" s="1" t="s">
        <v>23</v>
      </c>
      <c r="J2" s="1" t="s">
        <v>24</v>
      </c>
      <c r="K2" s="1">
        <v>9</v>
      </c>
      <c r="L2" s="1">
        <v>435.39</v>
      </c>
      <c r="M2" s="1">
        <v>0.03</v>
      </c>
      <c r="N2" s="1">
        <v>3800.95</v>
      </c>
      <c r="O2" s="1">
        <v>755.43</v>
      </c>
    </row>
    <row r="3" spans="1:15" x14ac:dyDescent="0.3">
      <c r="A3" s="1" t="s">
        <v>15</v>
      </c>
      <c r="B3" s="1" t="s">
        <v>16</v>
      </c>
      <c r="C3" s="1" t="s">
        <v>25</v>
      </c>
      <c r="D3" s="1" t="s">
        <v>18</v>
      </c>
      <c r="E3" s="1" t="s">
        <v>26</v>
      </c>
      <c r="F3" s="1" t="s">
        <v>20</v>
      </c>
      <c r="G3" s="1" t="s">
        <v>27</v>
      </c>
      <c r="H3" s="1" t="s">
        <v>28</v>
      </c>
      <c r="I3" s="1" t="s">
        <v>29</v>
      </c>
      <c r="J3" s="3">
        <v>45877</v>
      </c>
      <c r="K3" s="1">
        <v>5</v>
      </c>
      <c r="L3" s="1">
        <v>230.61</v>
      </c>
      <c r="M3" s="1">
        <v>0.12</v>
      </c>
      <c r="N3" s="1">
        <v>1014.68</v>
      </c>
      <c r="O3" s="1">
        <v>164.5</v>
      </c>
    </row>
    <row r="4" spans="1:15" x14ac:dyDescent="0.3">
      <c r="A4" s="1" t="s">
        <v>30</v>
      </c>
      <c r="B4" s="1" t="s">
        <v>31</v>
      </c>
      <c r="C4" s="1" t="s">
        <v>32</v>
      </c>
      <c r="D4" s="1" t="s">
        <v>33</v>
      </c>
      <c r="E4" s="1" t="s">
        <v>19</v>
      </c>
      <c r="F4" s="1" t="s">
        <v>34</v>
      </c>
      <c r="G4" s="1" t="s">
        <v>21</v>
      </c>
      <c r="H4" s="1" t="s">
        <v>22</v>
      </c>
      <c r="I4" s="1" t="s">
        <v>35</v>
      </c>
      <c r="J4" s="1" t="s">
        <v>36</v>
      </c>
      <c r="K4" s="1">
        <v>10</v>
      </c>
      <c r="L4" s="1">
        <v>266.47000000000003</v>
      </c>
      <c r="M4" s="1">
        <v>0.06</v>
      </c>
      <c r="N4" s="1">
        <v>2504.8200000000002</v>
      </c>
      <c r="O4" s="1">
        <v>701.1</v>
      </c>
    </row>
    <row r="5" spans="1:15" x14ac:dyDescent="0.3">
      <c r="A5" s="1" t="s">
        <v>30</v>
      </c>
      <c r="B5" s="1" t="s">
        <v>31</v>
      </c>
      <c r="C5" s="1" t="s">
        <v>37</v>
      </c>
      <c r="D5" s="1" t="s">
        <v>38</v>
      </c>
      <c r="E5" s="1" t="s">
        <v>19</v>
      </c>
      <c r="F5" s="1" t="s">
        <v>20</v>
      </c>
      <c r="G5" s="1" t="s">
        <v>21</v>
      </c>
      <c r="H5" s="1" t="s">
        <v>39</v>
      </c>
      <c r="I5" s="1" t="s">
        <v>40</v>
      </c>
      <c r="J5" s="3">
        <v>45874</v>
      </c>
      <c r="K5" s="1">
        <v>5</v>
      </c>
      <c r="L5" s="1">
        <v>468.31</v>
      </c>
      <c r="M5" s="1">
        <v>7.0000000000000007E-2</v>
      </c>
      <c r="N5" s="1">
        <v>2177.64</v>
      </c>
      <c r="O5" s="1">
        <v>341.03</v>
      </c>
    </row>
    <row r="6" spans="1:15" x14ac:dyDescent="0.3">
      <c r="A6" s="1" t="s">
        <v>41</v>
      </c>
      <c r="B6" s="1" t="s">
        <v>42</v>
      </c>
      <c r="C6" s="1" t="s">
        <v>43</v>
      </c>
      <c r="D6" s="1" t="s">
        <v>33</v>
      </c>
      <c r="E6" s="1" t="s">
        <v>44</v>
      </c>
      <c r="F6" s="1" t="s">
        <v>20</v>
      </c>
      <c r="G6" s="1" t="s">
        <v>21</v>
      </c>
      <c r="H6" s="1" t="s">
        <v>28</v>
      </c>
      <c r="I6" s="1" t="s">
        <v>45</v>
      </c>
      <c r="J6" s="3">
        <v>45846</v>
      </c>
      <c r="K6" s="1">
        <v>7</v>
      </c>
      <c r="L6" s="1">
        <v>157.53</v>
      </c>
      <c r="M6" s="1">
        <v>0.18</v>
      </c>
      <c r="N6" s="1">
        <v>904.22</v>
      </c>
      <c r="O6" s="1">
        <v>143.72</v>
      </c>
    </row>
    <row r="7" spans="1:15" x14ac:dyDescent="0.3">
      <c r="A7" s="1" t="s">
        <v>46</v>
      </c>
      <c r="B7" s="1" t="s">
        <v>47</v>
      </c>
      <c r="C7" s="1" t="s">
        <v>48</v>
      </c>
      <c r="D7" s="1" t="s">
        <v>49</v>
      </c>
      <c r="E7" s="1" t="s">
        <v>26</v>
      </c>
      <c r="F7" s="1" t="s">
        <v>20</v>
      </c>
      <c r="G7" s="1" t="s">
        <v>50</v>
      </c>
      <c r="H7" s="1" t="s">
        <v>51</v>
      </c>
      <c r="I7" s="1" t="s">
        <v>52</v>
      </c>
      <c r="J7" s="3">
        <v>45903</v>
      </c>
      <c r="K7" s="1">
        <v>6</v>
      </c>
      <c r="L7" s="1">
        <v>13.16</v>
      </c>
      <c r="M7" s="1">
        <v>0.24</v>
      </c>
      <c r="N7" s="1">
        <v>60.01</v>
      </c>
      <c r="O7" s="1">
        <v>16.48</v>
      </c>
    </row>
    <row r="8" spans="1:15" x14ac:dyDescent="0.3">
      <c r="A8" s="1" t="s">
        <v>53</v>
      </c>
      <c r="B8" s="1" t="s">
        <v>54</v>
      </c>
      <c r="C8" s="1" t="s">
        <v>55</v>
      </c>
      <c r="D8" s="1" t="s">
        <v>18</v>
      </c>
      <c r="E8" s="1" t="s">
        <v>44</v>
      </c>
      <c r="F8" s="1" t="s">
        <v>20</v>
      </c>
      <c r="G8" s="1" t="s">
        <v>56</v>
      </c>
      <c r="H8" s="1" t="s">
        <v>51</v>
      </c>
      <c r="I8" s="1" t="s">
        <v>57</v>
      </c>
      <c r="J8" s="3">
        <v>45748</v>
      </c>
      <c r="K8" s="1">
        <v>2</v>
      </c>
      <c r="L8" s="1">
        <v>182.16</v>
      </c>
      <c r="M8" s="1">
        <v>0.11</v>
      </c>
      <c r="N8" s="1">
        <v>324.24</v>
      </c>
      <c r="O8" s="1">
        <v>73.989999999999995</v>
      </c>
    </row>
    <row r="9" spans="1:15" x14ac:dyDescent="0.3">
      <c r="A9" s="1" t="s">
        <v>58</v>
      </c>
      <c r="B9" s="1" t="s">
        <v>59</v>
      </c>
      <c r="C9" s="1" t="s">
        <v>60</v>
      </c>
      <c r="D9" s="1" t="s">
        <v>61</v>
      </c>
      <c r="E9" s="1" t="s">
        <v>44</v>
      </c>
      <c r="F9" s="1" t="s">
        <v>34</v>
      </c>
      <c r="G9" s="1" t="s">
        <v>27</v>
      </c>
      <c r="H9" s="1" t="s">
        <v>51</v>
      </c>
      <c r="I9" s="1" t="s">
        <v>52</v>
      </c>
      <c r="J9" s="3">
        <v>45997</v>
      </c>
      <c r="K9" s="1">
        <v>6</v>
      </c>
      <c r="L9" s="1">
        <v>336.11</v>
      </c>
      <c r="M9" s="1">
        <v>0.19</v>
      </c>
      <c r="N9" s="1">
        <v>1633.49</v>
      </c>
      <c r="O9" s="1">
        <v>485.5</v>
      </c>
    </row>
    <row r="10" spans="1:15" x14ac:dyDescent="0.3">
      <c r="A10" s="1" t="s">
        <v>62</v>
      </c>
      <c r="B10" s="1" t="s">
        <v>63</v>
      </c>
      <c r="C10" s="1" t="s">
        <v>64</v>
      </c>
      <c r="D10" s="1" t="s">
        <v>65</v>
      </c>
      <c r="E10" s="1" t="s">
        <v>26</v>
      </c>
      <c r="F10" s="1" t="s">
        <v>34</v>
      </c>
      <c r="G10" s="1" t="s">
        <v>21</v>
      </c>
      <c r="H10" s="1" t="s">
        <v>39</v>
      </c>
      <c r="I10" s="1" t="s">
        <v>66</v>
      </c>
      <c r="J10" s="1" t="s">
        <v>67</v>
      </c>
      <c r="K10" s="1">
        <v>6</v>
      </c>
      <c r="L10" s="1">
        <v>368.29</v>
      </c>
      <c r="M10" s="1">
        <v>0.17</v>
      </c>
      <c r="N10" s="1">
        <v>1834.08</v>
      </c>
      <c r="O10" s="1">
        <v>535.04999999999995</v>
      </c>
    </row>
    <row r="11" spans="1:15" x14ac:dyDescent="0.3">
      <c r="A11" s="1" t="s">
        <v>41</v>
      </c>
      <c r="B11" s="1" t="s">
        <v>42</v>
      </c>
      <c r="C11" s="1" t="s">
        <v>68</v>
      </c>
      <c r="D11" s="1" t="s">
        <v>69</v>
      </c>
      <c r="E11" s="1" t="s">
        <v>70</v>
      </c>
      <c r="F11" s="1" t="s">
        <v>34</v>
      </c>
      <c r="G11" s="1" t="s">
        <v>50</v>
      </c>
      <c r="H11" s="1" t="s">
        <v>22</v>
      </c>
      <c r="I11" s="1" t="s">
        <v>23</v>
      </c>
      <c r="J11" s="1" t="s">
        <v>71</v>
      </c>
      <c r="K11" s="1">
        <v>4</v>
      </c>
      <c r="L11" s="1">
        <v>122.6</v>
      </c>
      <c r="M11" s="1">
        <v>0.04</v>
      </c>
      <c r="N11" s="1">
        <v>470.78</v>
      </c>
      <c r="O11" s="1">
        <v>48.57</v>
      </c>
    </row>
    <row r="12" spans="1:15" x14ac:dyDescent="0.3">
      <c r="A12" s="1" t="s">
        <v>46</v>
      </c>
      <c r="B12" s="1" t="s">
        <v>47</v>
      </c>
      <c r="C12" s="1" t="s">
        <v>72</v>
      </c>
      <c r="D12" s="1" t="s">
        <v>33</v>
      </c>
      <c r="E12" s="1" t="s">
        <v>44</v>
      </c>
      <c r="F12" s="1" t="s">
        <v>34</v>
      </c>
      <c r="G12" s="1" t="s">
        <v>27</v>
      </c>
      <c r="H12" s="1" t="s">
        <v>28</v>
      </c>
      <c r="I12" s="1" t="s">
        <v>73</v>
      </c>
      <c r="J12" s="3">
        <v>45931</v>
      </c>
      <c r="K12" s="1">
        <v>8</v>
      </c>
      <c r="L12" s="1">
        <v>32.43</v>
      </c>
      <c r="M12" s="1">
        <v>0.06</v>
      </c>
      <c r="N12" s="1">
        <v>243.87</v>
      </c>
      <c r="O12" s="1">
        <v>61.81</v>
      </c>
    </row>
    <row r="13" spans="1:15" x14ac:dyDescent="0.3">
      <c r="A13" s="1" t="s">
        <v>62</v>
      </c>
      <c r="B13" s="1" t="s">
        <v>63</v>
      </c>
      <c r="C13" s="1" t="s">
        <v>74</v>
      </c>
      <c r="D13" s="1" t="s">
        <v>18</v>
      </c>
      <c r="E13" s="1" t="s">
        <v>26</v>
      </c>
      <c r="F13" s="1" t="s">
        <v>20</v>
      </c>
      <c r="G13" s="1" t="s">
        <v>21</v>
      </c>
      <c r="H13" s="1" t="s">
        <v>39</v>
      </c>
      <c r="I13" s="1" t="s">
        <v>40</v>
      </c>
      <c r="J13" s="1" t="s">
        <v>75</v>
      </c>
      <c r="K13" s="1">
        <v>5</v>
      </c>
      <c r="L13" s="1">
        <v>216.1</v>
      </c>
      <c r="M13" s="1">
        <v>0.06</v>
      </c>
      <c r="N13" s="1">
        <v>1015.67</v>
      </c>
      <c r="O13" s="1">
        <v>186.09</v>
      </c>
    </row>
    <row r="14" spans="1:15" x14ac:dyDescent="0.3">
      <c r="A14" s="1" t="s">
        <v>62</v>
      </c>
      <c r="B14" s="1" t="s">
        <v>63</v>
      </c>
      <c r="C14" s="1" t="s">
        <v>76</v>
      </c>
      <c r="D14" s="1" t="s">
        <v>38</v>
      </c>
      <c r="E14" s="1" t="s">
        <v>26</v>
      </c>
      <c r="F14" s="1" t="s">
        <v>34</v>
      </c>
      <c r="G14" s="1" t="s">
        <v>21</v>
      </c>
      <c r="H14" s="1" t="s">
        <v>51</v>
      </c>
      <c r="I14" s="1" t="s">
        <v>77</v>
      </c>
      <c r="J14" s="1" t="s">
        <v>78</v>
      </c>
      <c r="K14" s="1">
        <v>5</v>
      </c>
      <c r="L14" s="1">
        <v>397.94</v>
      </c>
      <c r="M14" s="1">
        <v>0.1</v>
      </c>
      <c r="N14" s="1">
        <v>1790.73</v>
      </c>
      <c r="O14" s="1">
        <v>358.1</v>
      </c>
    </row>
    <row r="15" spans="1:15" x14ac:dyDescent="0.3">
      <c r="A15" s="1" t="s">
        <v>79</v>
      </c>
      <c r="B15" s="1" t="s">
        <v>80</v>
      </c>
      <c r="C15" s="1" t="s">
        <v>81</v>
      </c>
      <c r="D15" s="1" t="s">
        <v>33</v>
      </c>
      <c r="E15" s="1" t="s">
        <v>19</v>
      </c>
      <c r="F15" s="1" t="s">
        <v>34</v>
      </c>
      <c r="G15" s="1" t="s">
        <v>27</v>
      </c>
      <c r="H15" s="1" t="s">
        <v>51</v>
      </c>
      <c r="I15" s="1" t="s">
        <v>57</v>
      </c>
      <c r="J15" s="3">
        <v>45874</v>
      </c>
      <c r="K15" s="1">
        <v>9</v>
      </c>
      <c r="L15" s="1">
        <v>172.3</v>
      </c>
      <c r="M15" s="1">
        <v>0.21</v>
      </c>
      <c r="N15" s="1">
        <v>1225.05</v>
      </c>
      <c r="O15" s="1">
        <v>219.46</v>
      </c>
    </row>
    <row r="16" spans="1:15" x14ac:dyDescent="0.3">
      <c r="A16" s="1" t="s">
        <v>46</v>
      </c>
      <c r="B16" s="1" t="s">
        <v>47</v>
      </c>
      <c r="C16" s="1" t="s">
        <v>82</v>
      </c>
      <c r="D16" s="1" t="s">
        <v>83</v>
      </c>
      <c r="E16" s="1" t="s">
        <v>26</v>
      </c>
      <c r="F16" s="1" t="s">
        <v>20</v>
      </c>
      <c r="G16" s="1" t="s">
        <v>27</v>
      </c>
      <c r="H16" s="1" t="s">
        <v>22</v>
      </c>
      <c r="I16" s="1" t="s">
        <v>23</v>
      </c>
      <c r="J16" s="3">
        <v>45778</v>
      </c>
      <c r="K16" s="1">
        <v>5</v>
      </c>
      <c r="L16" s="1">
        <v>132.35</v>
      </c>
      <c r="M16" s="1">
        <v>0.16</v>
      </c>
      <c r="N16" s="1">
        <v>555.87</v>
      </c>
      <c r="O16" s="1">
        <v>68.84</v>
      </c>
    </row>
    <row r="17" spans="1:15" x14ac:dyDescent="0.3">
      <c r="A17" s="1" t="s">
        <v>46</v>
      </c>
      <c r="B17" s="1" t="s">
        <v>47</v>
      </c>
      <c r="C17" s="1" t="s">
        <v>84</v>
      </c>
      <c r="D17" s="1" t="s">
        <v>61</v>
      </c>
      <c r="E17" s="1" t="s">
        <v>70</v>
      </c>
      <c r="F17" s="1" t="s">
        <v>34</v>
      </c>
      <c r="G17" s="1" t="s">
        <v>21</v>
      </c>
      <c r="H17" s="1" t="s">
        <v>39</v>
      </c>
      <c r="I17" s="1" t="s">
        <v>66</v>
      </c>
      <c r="J17" s="3">
        <v>46001</v>
      </c>
      <c r="K17" s="1">
        <v>8</v>
      </c>
      <c r="L17" s="1">
        <v>351.93</v>
      </c>
      <c r="M17" s="1">
        <v>0</v>
      </c>
      <c r="N17" s="1">
        <v>2815.44</v>
      </c>
      <c r="O17" s="1">
        <v>715.77</v>
      </c>
    </row>
    <row r="18" spans="1:15" x14ac:dyDescent="0.3">
      <c r="A18" s="1" t="s">
        <v>30</v>
      </c>
      <c r="B18" s="1" t="s">
        <v>31</v>
      </c>
      <c r="C18" s="1" t="s">
        <v>85</v>
      </c>
      <c r="D18" s="1" t="s">
        <v>61</v>
      </c>
      <c r="E18" s="1" t="s">
        <v>44</v>
      </c>
      <c r="F18" s="1" t="s">
        <v>20</v>
      </c>
      <c r="G18" s="1" t="s">
        <v>50</v>
      </c>
      <c r="H18" s="1" t="s">
        <v>39</v>
      </c>
      <c r="I18" s="1" t="s">
        <v>86</v>
      </c>
      <c r="J18" s="3">
        <v>45812</v>
      </c>
      <c r="K18" s="1">
        <v>7</v>
      </c>
      <c r="L18" s="1">
        <v>62.71</v>
      </c>
      <c r="M18" s="1">
        <v>0.03</v>
      </c>
      <c r="N18" s="1">
        <v>425.8</v>
      </c>
      <c r="O18" s="1">
        <v>119.37</v>
      </c>
    </row>
    <row r="19" spans="1:15" x14ac:dyDescent="0.3">
      <c r="A19" s="1" t="s">
        <v>53</v>
      </c>
      <c r="B19" s="1" t="s">
        <v>54</v>
      </c>
      <c r="C19" s="1" t="s">
        <v>87</v>
      </c>
      <c r="D19" s="1" t="s">
        <v>49</v>
      </c>
      <c r="E19" s="1" t="s">
        <v>19</v>
      </c>
      <c r="F19" s="1" t="s">
        <v>34</v>
      </c>
      <c r="G19" s="1" t="s">
        <v>56</v>
      </c>
      <c r="H19" s="1" t="s">
        <v>28</v>
      </c>
      <c r="I19" s="1" t="s">
        <v>45</v>
      </c>
      <c r="J19" s="3">
        <v>45695</v>
      </c>
      <c r="K19" s="1">
        <v>8</v>
      </c>
      <c r="L19" s="1">
        <v>318.63</v>
      </c>
      <c r="M19" s="1">
        <v>0.23</v>
      </c>
      <c r="N19" s="1">
        <v>1962.76</v>
      </c>
      <c r="O19" s="1">
        <v>274.44</v>
      </c>
    </row>
    <row r="20" spans="1:15" x14ac:dyDescent="0.3">
      <c r="A20" s="1" t="s">
        <v>79</v>
      </c>
      <c r="B20" s="1" t="s">
        <v>80</v>
      </c>
      <c r="C20" s="1" t="s">
        <v>88</v>
      </c>
      <c r="D20" s="1" t="s">
        <v>65</v>
      </c>
      <c r="E20" s="1" t="s">
        <v>19</v>
      </c>
      <c r="F20" s="1" t="s">
        <v>20</v>
      </c>
      <c r="G20" s="1" t="s">
        <v>56</v>
      </c>
      <c r="H20" s="1" t="s">
        <v>22</v>
      </c>
      <c r="I20" s="1" t="s">
        <v>35</v>
      </c>
      <c r="J20" s="3">
        <v>45668</v>
      </c>
      <c r="K20" s="1">
        <v>4</v>
      </c>
      <c r="L20" s="1">
        <v>392.4</v>
      </c>
      <c r="M20" s="1">
        <v>0.11</v>
      </c>
      <c r="N20" s="1">
        <v>1396.94</v>
      </c>
      <c r="O20" s="1">
        <v>231.43</v>
      </c>
    </row>
    <row r="21" spans="1:15" x14ac:dyDescent="0.3">
      <c r="A21" s="1" t="s">
        <v>62</v>
      </c>
      <c r="B21" s="1" t="s">
        <v>63</v>
      </c>
      <c r="C21" s="1" t="s">
        <v>89</v>
      </c>
      <c r="D21" s="1" t="s">
        <v>33</v>
      </c>
      <c r="E21" s="1" t="s">
        <v>19</v>
      </c>
      <c r="F21" s="1" t="s">
        <v>34</v>
      </c>
      <c r="G21" s="1" t="s">
        <v>56</v>
      </c>
      <c r="H21" s="1" t="s">
        <v>51</v>
      </c>
      <c r="I21" s="1" t="s">
        <v>77</v>
      </c>
      <c r="J21" s="3">
        <v>45906</v>
      </c>
      <c r="K21" s="1">
        <v>1</v>
      </c>
      <c r="L21" s="1">
        <v>117.41</v>
      </c>
      <c r="M21" s="1">
        <v>0.13</v>
      </c>
      <c r="N21" s="1">
        <v>102.15</v>
      </c>
      <c r="O21" s="1">
        <v>24.6</v>
      </c>
    </row>
    <row r="22" spans="1:15" x14ac:dyDescent="0.3">
      <c r="A22" s="1" t="s">
        <v>90</v>
      </c>
      <c r="B22" s="1" t="s">
        <v>91</v>
      </c>
      <c r="C22" s="1" t="s">
        <v>92</v>
      </c>
      <c r="D22" s="1" t="s">
        <v>38</v>
      </c>
      <c r="E22" s="1" t="s">
        <v>70</v>
      </c>
      <c r="F22" s="1" t="s">
        <v>34</v>
      </c>
      <c r="G22" s="1" t="s">
        <v>21</v>
      </c>
      <c r="H22" s="1" t="s">
        <v>28</v>
      </c>
      <c r="I22" s="1" t="s">
        <v>93</v>
      </c>
      <c r="J22" s="1" t="s">
        <v>94</v>
      </c>
      <c r="K22" s="1">
        <v>8</v>
      </c>
      <c r="L22" s="1">
        <v>42.69</v>
      </c>
      <c r="M22" s="1">
        <v>0.03</v>
      </c>
      <c r="N22" s="1">
        <v>331.27</v>
      </c>
      <c r="O22" s="1">
        <v>89.83</v>
      </c>
    </row>
    <row r="23" spans="1:15" x14ac:dyDescent="0.3">
      <c r="A23" s="1" t="s">
        <v>30</v>
      </c>
      <c r="B23" s="1" t="s">
        <v>31</v>
      </c>
      <c r="C23" s="1" t="s">
        <v>95</v>
      </c>
      <c r="D23" s="1" t="s">
        <v>18</v>
      </c>
      <c r="E23" s="1" t="s">
        <v>44</v>
      </c>
      <c r="F23" s="1" t="s">
        <v>20</v>
      </c>
      <c r="G23" s="1" t="s">
        <v>27</v>
      </c>
      <c r="H23" s="1" t="s">
        <v>39</v>
      </c>
      <c r="I23" s="1" t="s">
        <v>40</v>
      </c>
      <c r="J23" s="3">
        <v>45689</v>
      </c>
      <c r="K23" s="1">
        <v>5</v>
      </c>
      <c r="L23" s="1">
        <v>383.34</v>
      </c>
      <c r="M23" s="1">
        <v>0.01</v>
      </c>
      <c r="N23" s="1">
        <v>1897.53</v>
      </c>
      <c r="O23" s="1">
        <v>434.87</v>
      </c>
    </row>
    <row r="24" spans="1:15" x14ac:dyDescent="0.3">
      <c r="A24" s="1" t="s">
        <v>90</v>
      </c>
      <c r="B24" s="1" t="s">
        <v>91</v>
      </c>
      <c r="C24" s="1" t="s">
        <v>96</v>
      </c>
      <c r="D24" s="1" t="s">
        <v>33</v>
      </c>
      <c r="E24" s="1" t="s">
        <v>70</v>
      </c>
      <c r="F24" s="1" t="s">
        <v>20</v>
      </c>
      <c r="G24" s="1" t="s">
        <v>27</v>
      </c>
      <c r="H24" s="1" t="s">
        <v>22</v>
      </c>
      <c r="I24" s="1" t="s">
        <v>23</v>
      </c>
      <c r="J24" s="3">
        <v>45901</v>
      </c>
      <c r="K24" s="1">
        <v>2</v>
      </c>
      <c r="L24" s="1">
        <v>429.03</v>
      </c>
      <c r="M24" s="1">
        <v>0.22</v>
      </c>
      <c r="N24" s="1">
        <v>669.29</v>
      </c>
      <c r="O24" s="1">
        <v>163.41999999999999</v>
      </c>
    </row>
    <row r="25" spans="1:15" x14ac:dyDescent="0.3">
      <c r="A25" s="1" t="s">
        <v>41</v>
      </c>
      <c r="B25" s="1" t="s">
        <v>42</v>
      </c>
      <c r="C25" s="1" t="s">
        <v>97</v>
      </c>
      <c r="D25" s="1" t="s">
        <v>18</v>
      </c>
      <c r="E25" s="1" t="s">
        <v>44</v>
      </c>
      <c r="F25" s="1" t="s">
        <v>34</v>
      </c>
      <c r="G25" s="1" t="s">
        <v>21</v>
      </c>
      <c r="H25" s="1" t="s">
        <v>22</v>
      </c>
      <c r="I25" s="1" t="s">
        <v>23</v>
      </c>
      <c r="J25" s="3">
        <v>45788</v>
      </c>
      <c r="K25" s="1">
        <v>5</v>
      </c>
      <c r="L25" s="1">
        <v>401</v>
      </c>
      <c r="M25" s="1">
        <v>0.27</v>
      </c>
      <c r="N25" s="1">
        <v>1463.65</v>
      </c>
      <c r="O25" s="1">
        <v>408.93</v>
      </c>
    </row>
    <row r="26" spans="1:15" x14ac:dyDescent="0.3">
      <c r="A26" s="1" t="s">
        <v>58</v>
      </c>
      <c r="B26" s="1" t="s">
        <v>59</v>
      </c>
      <c r="C26" s="1" t="s">
        <v>98</v>
      </c>
      <c r="D26" s="1" t="s">
        <v>33</v>
      </c>
      <c r="E26" s="1" t="s">
        <v>26</v>
      </c>
      <c r="F26" s="1" t="s">
        <v>34</v>
      </c>
      <c r="G26" s="1" t="s">
        <v>27</v>
      </c>
      <c r="H26" s="1" t="s">
        <v>28</v>
      </c>
      <c r="I26" s="1" t="s">
        <v>73</v>
      </c>
      <c r="J26" s="3">
        <v>45937</v>
      </c>
      <c r="K26" s="1">
        <v>2</v>
      </c>
      <c r="L26" s="1">
        <v>306.52</v>
      </c>
      <c r="M26" s="1">
        <v>0.24</v>
      </c>
      <c r="N26" s="1">
        <v>465.91</v>
      </c>
      <c r="O26" s="1">
        <v>82.52</v>
      </c>
    </row>
    <row r="27" spans="1:15" x14ac:dyDescent="0.3">
      <c r="A27" s="1" t="s">
        <v>58</v>
      </c>
      <c r="B27" s="1" t="s">
        <v>59</v>
      </c>
      <c r="C27" s="1" t="s">
        <v>99</v>
      </c>
      <c r="D27" s="1" t="s">
        <v>69</v>
      </c>
      <c r="E27" s="1" t="s">
        <v>44</v>
      </c>
      <c r="F27" s="1" t="s">
        <v>20</v>
      </c>
      <c r="G27" s="1" t="s">
        <v>56</v>
      </c>
      <c r="H27" s="1" t="s">
        <v>51</v>
      </c>
      <c r="I27" s="1" t="s">
        <v>52</v>
      </c>
      <c r="J27" s="1" t="s">
        <v>100</v>
      </c>
      <c r="K27" s="1">
        <v>5</v>
      </c>
      <c r="L27" s="1">
        <v>257.36</v>
      </c>
      <c r="M27" s="1">
        <v>0.03</v>
      </c>
      <c r="N27" s="1">
        <v>1248.2</v>
      </c>
      <c r="O27" s="1">
        <v>343.41</v>
      </c>
    </row>
    <row r="28" spans="1:15" x14ac:dyDescent="0.3">
      <c r="A28" s="1" t="s">
        <v>15</v>
      </c>
      <c r="B28" s="1" t="s">
        <v>16</v>
      </c>
      <c r="C28" s="1" t="s">
        <v>101</v>
      </c>
      <c r="D28" s="1" t="s">
        <v>49</v>
      </c>
      <c r="E28" s="1" t="s">
        <v>19</v>
      </c>
      <c r="F28" s="1" t="s">
        <v>20</v>
      </c>
      <c r="G28" s="1" t="s">
        <v>27</v>
      </c>
      <c r="H28" s="1" t="s">
        <v>28</v>
      </c>
      <c r="I28" s="1" t="s">
        <v>29</v>
      </c>
      <c r="J28" s="3">
        <v>45994</v>
      </c>
      <c r="K28" s="1">
        <v>10</v>
      </c>
      <c r="L28" s="1">
        <v>359.64</v>
      </c>
      <c r="M28" s="1">
        <v>0.22</v>
      </c>
      <c r="N28" s="1">
        <v>2805.19</v>
      </c>
      <c r="O28" s="1">
        <v>657.05</v>
      </c>
    </row>
    <row r="29" spans="1:15" x14ac:dyDescent="0.3">
      <c r="A29" s="1" t="s">
        <v>62</v>
      </c>
      <c r="B29" s="1" t="s">
        <v>63</v>
      </c>
      <c r="C29" s="1" t="s">
        <v>102</v>
      </c>
      <c r="D29" s="1" t="s">
        <v>49</v>
      </c>
      <c r="E29" s="1" t="s">
        <v>26</v>
      </c>
      <c r="F29" s="1" t="s">
        <v>34</v>
      </c>
      <c r="G29" s="1" t="s">
        <v>27</v>
      </c>
      <c r="H29" s="1" t="s">
        <v>51</v>
      </c>
      <c r="I29" s="1" t="s">
        <v>52</v>
      </c>
      <c r="J29" s="1" t="s">
        <v>103</v>
      </c>
      <c r="K29" s="1">
        <v>5</v>
      </c>
      <c r="L29" s="1">
        <v>234.86</v>
      </c>
      <c r="M29" s="1">
        <v>0</v>
      </c>
      <c r="N29" s="1">
        <v>1174.3</v>
      </c>
      <c r="O29" s="1">
        <v>308.18</v>
      </c>
    </row>
    <row r="30" spans="1:15" x14ac:dyDescent="0.3">
      <c r="A30" s="1" t="s">
        <v>15</v>
      </c>
      <c r="B30" s="1" t="s">
        <v>16</v>
      </c>
      <c r="C30" s="1" t="s">
        <v>104</v>
      </c>
      <c r="D30" s="1" t="s">
        <v>65</v>
      </c>
      <c r="E30" s="1" t="s">
        <v>70</v>
      </c>
      <c r="F30" s="1" t="s">
        <v>20</v>
      </c>
      <c r="G30" s="1" t="s">
        <v>27</v>
      </c>
      <c r="H30" s="1" t="s">
        <v>28</v>
      </c>
      <c r="I30" s="1" t="s">
        <v>29</v>
      </c>
      <c r="J30" s="1" t="s">
        <v>105</v>
      </c>
      <c r="K30" s="1">
        <v>2</v>
      </c>
      <c r="L30" s="1">
        <v>104.22</v>
      </c>
      <c r="M30" s="1">
        <v>0.09</v>
      </c>
      <c r="N30" s="1">
        <v>189.68</v>
      </c>
      <c r="O30" s="1">
        <v>56.65</v>
      </c>
    </row>
    <row r="31" spans="1:15" x14ac:dyDescent="0.3">
      <c r="A31" s="1" t="s">
        <v>30</v>
      </c>
      <c r="B31" s="1" t="s">
        <v>31</v>
      </c>
      <c r="C31" s="1" t="s">
        <v>106</v>
      </c>
      <c r="D31" s="1" t="s">
        <v>107</v>
      </c>
      <c r="E31" s="1" t="s">
        <v>70</v>
      </c>
      <c r="F31" s="1" t="s">
        <v>34</v>
      </c>
      <c r="G31" s="1" t="s">
        <v>21</v>
      </c>
      <c r="H31" s="1" t="s">
        <v>28</v>
      </c>
      <c r="I31" s="1" t="s">
        <v>73</v>
      </c>
      <c r="J31" s="1" t="s">
        <v>108</v>
      </c>
      <c r="K31" s="1">
        <v>2</v>
      </c>
      <c r="L31" s="1">
        <v>358.17</v>
      </c>
      <c r="M31" s="1">
        <v>0.16</v>
      </c>
      <c r="N31" s="1">
        <v>601.73</v>
      </c>
      <c r="O31" s="1">
        <v>171.2</v>
      </c>
    </row>
    <row r="32" spans="1:15" x14ac:dyDescent="0.3">
      <c r="A32" s="1" t="s">
        <v>109</v>
      </c>
      <c r="B32" s="1" t="s">
        <v>110</v>
      </c>
      <c r="C32" s="1" t="s">
        <v>111</v>
      </c>
      <c r="D32" s="1" t="s">
        <v>65</v>
      </c>
      <c r="E32" s="1" t="s">
        <v>70</v>
      </c>
      <c r="F32" s="1" t="s">
        <v>20</v>
      </c>
      <c r="G32" s="1" t="s">
        <v>27</v>
      </c>
      <c r="H32" s="1" t="s">
        <v>51</v>
      </c>
      <c r="I32" s="1" t="s">
        <v>112</v>
      </c>
      <c r="J32" s="3">
        <v>45817</v>
      </c>
      <c r="K32" s="1">
        <v>5</v>
      </c>
      <c r="L32" s="1">
        <v>387.61</v>
      </c>
      <c r="M32" s="1">
        <v>0.13</v>
      </c>
      <c r="N32" s="1">
        <v>1686.1</v>
      </c>
      <c r="O32" s="1">
        <v>258.93</v>
      </c>
    </row>
    <row r="33" spans="1:15" x14ac:dyDescent="0.3">
      <c r="A33" s="1" t="s">
        <v>41</v>
      </c>
      <c r="B33" s="1" t="s">
        <v>42</v>
      </c>
      <c r="C33" s="1" t="s">
        <v>113</v>
      </c>
      <c r="D33" s="1" t="s">
        <v>107</v>
      </c>
      <c r="E33" s="1" t="s">
        <v>26</v>
      </c>
      <c r="F33" s="1" t="s">
        <v>34</v>
      </c>
      <c r="G33" s="1" t="s">
        <v>50</v>
      </c>
      <c r="H33" s="1" t="s">
        <v>39</v>
      </c>
      <c r="I33" s="1" t="s">
        <v>86</v>
      </c>
      <c r="J33" s="1" t="s">
        <v>114</v>
      </c>
      <c r="K33" s="1">
        <v>10</v>
      </c>
      <c r="L33" s="1">
        <v>476.12</v>
      </c>
      <c r="M33" s="1">
        <v>0.19</v>
      </c>
      <c r="N33" s="1">
        <v>3856.57</v>
      </c>
      <c r="O33" s="1">
        <v>414.77</v>
      </c>
    </row>
    <row r="34" spans="1:15" x14ac:dyDescent="0.3">
      <c r="A34" s="1" t="s">
        <v>79</v>
      </c>
      <c r="B34" s="1" t="s">
        <v>80</v>
      </c>
      <c r="C34" s="1" t="s">
        <v>115</v>
      </c>
      <c r="D34" s="1" t="s">
        <v>38</v>
      </c>
      <c r="E34" s="1" t="s">
        <v>26</v>
      </c>
      <c r="F34" s="1" t="s">
        <v>20</v>
      </c>
      <c r="G34" s="1" t="s">
        <v>56</v>
      </c>
      <c r="H34" s="1" t="s">
        <v>22</v>
      </c>
      <c r="I34" s="1" t="s">
        <v>116</v>
      </c>
      <c r="J34" s="3">
        <v>45725</v>
      </c>
      <c r="K34" s="1">
        <v>4</v>
      </c>
      <c r="L34" s="1">
        <v>181.1</v>
      </c>
      <c r="M34" s="1">
        <v>0.27</v>
      </c>
      <c r="N34" s="1">
        <v>528.80999999999995</v>
      </c>
      <c r="O34" s="1">
        <v>157</v>
      </c>
    </row>
    <row r="35" spans="1:15" x14ac:dyDescent="0.3">
      <c r="A35" s="1" t="s">
        <v>58</v>
      </c>
      <c r="B35" s="1" t="s">
        <v>59</v>
      </c>
      <c r="C35" s="1" t="s">
        <v>117</v>
      </c>
      <c r="D35" s="1" t="s">
        <v>83</v>
      </c>
      <c r="E35" s="1" t="s">
        <v>19</v>
      </c>
      <c r="F35" s="1" t="s">
        <v>20</v>
      </c>
      <c r="G35" s="1" t="s">
        <v>56</v>
      </c>
      <c r="H35" s="1" t="s">
        <v>39</v>
      </c>
      <c r="I35" s="1" t="s">
        <v>118</v>
      </c>
      <c r="J35" s="1" t="s">
        <v>119</v>
      </c>
      <c r="K35" s="1">
        <v>2</v>
      </c>
      <c r="L35" s="1">
        <v>305.24</v>
      </c>
      <c r="M35" s="1">
        <v>0.22</v>
      </c>
      <c r="N35" s="1">
        <v>476.17</v>
      </c>
      <c r="O35" s="1">
        <v>121.85</v>
      </c>
    </row>
    <row r="36" spans="1:15" x14ac:dyDescent="0.3">
      <c r="A36" s="1" t="s">
        <v>109</v>
      </c>
      <c r="B36" s="1" t="s">
        <v>110</v>
      </c>
      <c r="C36" s="1" t="s">
        <v>120</v>
      </c>
      <c r="D36" s="1" t="s">
        <v>69</v>
      </c>
      <c r="E36" s="1" t="s">
        <v>19</v>
      </c>
      <c r="F36" s="1" t="s">
        <v>34</v>
      </c>
      <c r="G36" s="1" t="s">
        <v>21</v>
      </c>
      <c r="H36" s="1" t="s">
        <v>28</v>
      </c>
      <c r="I36" s="1" t="s">
        <v>73</v>
      </c>
      <c r="J36" s="3">
        <v>45872</v>
      </c>
      <c r="K36" s="1">
        <v>6</v>
      </c>
      <c r="L36" s="1">
        <v>87.29</v>
      </c>
      <c r="M36" s="1">
        <v>0.25</v>
      </c>
      <c r="N36" s="1">
        <v>392.81</v>
      </c>
      <c r="O36" s="1">
        <v>89.2</v>
      </c>
    </row>
    <row r="37" spans="1:15" x14ac:dyDescent="0.3">
      <c r="A37" s="1" t="s">
        <v>62</v>
      </c>
      <c r="B37" s="1" t="s">
        <v>63</v>
      </c>
      <c r="C37" s="1" t="s">
        <v>121</v>
      </c>
      <c r="D37" s="1" t="s">
        <v>33</v>
      </c>
      <c r="E37" s="1" t="s">
        <v>19</v>
      </c>
      <c r="F37" s="1" t="s">
        <v>20</v>
      </c>
      <c r="G37" s="1" t="s">
        <v>50</v>
      </c>
      <c r="H37" s="1" t="s">
        <v>39</v>
      </c>
      <c r="I37" s="1" t="s">
        <v>118</v>
      </c>
      <c r="J37" s="3">
        <v>45910</v>
      </c>
      <c r="K37" s="1">
        <v>3</v>
      </c>
      <c r="L37" s="1">
        <v>39.24</v>
      </c>
      <c r="M37" s="1">
        <v>0.26</v>
      </c>
      <c r="N37" s="1">
        <v>87.11</v>
      </c>
      <c r="O37" s="1">
        <v>22.36</v>
      </c>
    </row>
    <row r="38" spans="1:15" x14ac:dyDescent="0.3">
      <c r="A38" s="1" t="s">
        <v>30</v>
      </c>
      <c r="B38" s="1" t="s">
        <v>31</v>
      </c>
      <c r="C38" s="1" t="s">
        <v>122</v>
      </c>
      <c r="D38" s="1" t="s">
        <v>107</v>
      </c>
      <c r="E38" s="1" t="s">
        <v>26</v>
      </c>
      <c r="F38" s="1" t="s">
        <v>34</v>
      </c>
      <c r="G38" s="1" t="s">
        <v>21</v>
      </c>
      <c r="H38" s="1" t="s">
        <v>22</v>
      </c>
      <c r="I38" s="1" t="s">
        <v>116</v>
      </c>
      <c r="J38" s="3">
        <v>45968</v>
      </c>
      <c r="K38" s="1">
        <v>6</v>
      </c>
      <c r="L38" s="1">
        <v>427.97</v>
      </c>
      <c r="M38" s="1">
        <v>0.26</v>
      </c>
      <c r="N38" s="1">
        <v>1900.19</v>
      </c>
      <c r="O38" s="1">
        <v>405.11</v>
      </c>
    </row>
    <row r="39" spans="1:15" x14ac:dyDescent="0.3">
      <c r="A39" s="1" t="s">
        <v>41</v>
      </c>
      <c r="B39" s="1" t="s">
        <v>42</v>
      </c>
      <c r="C39" s="1" t="s">
        <v>123</v>
      </c>
      <c r="D39" s="1" t="s">
        <v>65</v>
      </c>
      <c r="E39" s="1" t="s">
        <v>19</v>
      </c>
      <c r="F39" s="1" t="s">
        <v>34</v>
      </c>
      <c r="G39" s="1" t="s">
        <v>50</v>
      </c>
      <c r="H39" s="1" t="s">
        <v>28</v>
      </c>
      <c r="I39" s="1" t="s">
        <v>93</v>
      </c>
      <c r="J39" s="1" t="s">
        <v>124</v>
      </c>
      <c r="K39" s="1">
        <v>6</v>
      </c>
      <c r="L39" s="1">
        <v>368.97</v>
      </c>
      <c r="M39" s="1">
        <v>0.12</v>
      </c>
      <c r="N39" s="1">
        <v>1948.16</v>
      </c>
      <c r="O39" s="1">
        <v>344.85</v>
      </c>
    </row>
    <row r="40" spans="1:15" x14ac:dyDescent="0.3">
      <c r="A40" s="1" t="s">
        <v>41</v>
      </c>
      <c r="B40" s="1" t="s">
        <v>42</v>
      </c>
      <c r="C40" s="1" t="s">
        <v>125</v>
      </c>
      <c r="D40" s="1" t="s">
        <v>33</v>
      </c>
      <c r="E40" s="1" t="s">
        <v>44</v>
      </c>
      <c r="F40" s="1" t="s">
        <v>34</v>
      </c>
      <c r="G40" s="1" t="s">
        <v>27</v>
      </c>
      <c r="H40" s="1" t="s">
        <v>39</v>
      </c>
      <c r="I40" s="1" t="s">
        <v>118</v>
      </c>
      <c r="J40" s="1" t="s">
        <v>126</v>
      </c>
      <c r="K40" s="1">
        <v>3</v>
      </c>
      <c r="L40" s="1">
        <v>269.69</v>
      </c>
      <c r="M40" s="1">
        <v>0.1</v>
      </c>
      <c r="N40" s="1">
        <v>728.16</v>
      </c>
      <c r="O40" s="1">
        <v>73.67</v>
      </c>
    </row>
    <row r="41" spans="1:15" x14ac:dyDescent="0.3">
      <c r="A41" s="1" t="s">
        <v>58</v>
      </c>
      <c r="B41" s="1" t="s">
        <v>59</v>
      </c>
      <c r="C41" s="1" t="s">
        <v>127</v>
      </c>
      <c r="D41" s="1" t="s">
        <v>65</v>
      </c>
      <c r="E41" s="1" t="s">
        <v>19</v>
      </c>
      <c r="F41" s="1" t="s">
        <v>20</v>
      </c>
      <c r="G41" s="1" t="s">
        <v>21</v>
      </c>
      <c r="H41" s="1" t="s">
        <v>28</v>
      </c>
      <c r="I41" s="1" t="s">
        <v>29</v>
      </c>
      <c r="J41" s="1" t="s">
        <v>128</v>
      </c>
      <c r="K41" s="1">
        <v>2</v>
      </c>
      <c r="L41" s="1">
        <v>209.36</v>
      </c>
      <c r="M41" s="1">
        <v>0.13</v>
      </c>
      <c r="N41" s="1">
        <v>364.29</v>
      </c>
      <c r="O41" s="1">
        <v>92.43</v>
      </c>
    </row>
    <row r="42" spans="1:15" x14ac:dyDescent="0.3">
      <c r="A42" s="1" t="s">
        <v>53</v>
      </c>
      <c r="B42" s="1" t="s">
        <v>54</v>
      </c>
      <c r="C42" s="1" t="s">
        <v>129</v>
      </c>
      <c r="D42" s="1" t="s">
        <v>33</v>
      </c>
      <c r="E42" s="1" t="s">
        <v>70</v>
      </c>
      <c r="F42" s="1" t="s">
        <v>20</v>
      </c>
      <c r="G42" s="1" t="s">
        <v>50</v>
      </c>
      <c r="H42" s="1" t="s">
        <v>51</v>
      </c>
      <c r="I42" s="1" t="s">
        <v>112</v>
      </c>
      <c r="J42" s="1" t="s">
        <v>130</v>
      </c>
      <c r="K42" s="1">
        <v>9</v>
      </c>
      <c r="L42" s="1">
        <v>415.59</v>
      </c>
      <c r="M42" s="1">
        <v>0.28999999999999998</v>
      </c>
      <c r="N42" s="1">
        <v>2655.62</v>
      </c>
      <c r="O42" s="1">
        <v>745.86</v>
      </c>
    </row>
    <row r="43" spans="1:15" x14ac:dyDescent="0.3">
      <c r="A43" s="1" t="s">
        <v>41</v>
      </c>
      <c r="B43" s="1" t="s">
        <v>42</v>
      </c>
      <c r="C43" s="1" t="s">
        <v>131</v>
      </c>
      <c r="D43" s="1" t="s">
        <v>38</v>
      </c>
      <c r="E43" s="1" t="s">
        <v>70</v>
      </c>
      <c r="F43" s="1" t="s">
        <v>20</v>
      </c>
      <c r="G43" s="1" t="s">
        <v>50</v>
      </c>
      <c r="H43" s="1" t="s">
        <v>22</v>
      </c>
      <c r="I43" s="1" t="s">
        <v>116</v>
      </c>
      <c r="J43" s="1" t="s">
        <v>132</v>
      </c>
      <c r="K43" s="1">
        <v>3</v>
      </c>
      <c r="L43" s="1">
        <v>430.83</v>
      </c>
      <c r="M43" s="1">
        <v>0.18</v>
      </c>
      <c r="N43" s="1">
        <v>1059.8399999999999</v>
      </c>
      <c r="O43" s="1">
        <v>169.85</v>
      </c>
    </row>
    <row r="44" spans="1:15" x14ac:dyDescent="0.3">
      <c r="A44" s="1" t="s">
        <v>15</v>
      </c>
      <c r="B44" s="1" t="s">
        <v>16</v>
      </c>
      <c r="C44" s="1" t="s">
        <v>133</v>
      </c>
      <c r="D44" s="1" t="s">
        <v>49</v>
      </c>
      <c r="E44" s="1" t="s">
        <v>26</v>
      </c>
      <c r="F44" s="1" t="s">
        <v>34</v>
      </c>
      <c r="G44" s="1" t="s">
        <v>56</v>
      </c>
      <c r="H44" s="1" t="s">
        <v>22</v>
      </c>
      <c r="I44" s="1" t="s">
        <v>35</v>
      </c>
      <c r="J44" s="3">
        <v>45846</v>
      </c>
      <c r="K44" s="1">
        <v>6</v>
      </c>
      <c r="L44" s="1">
        <v>127.51</v>
      </c>
      <c r="M44" s="1">
        <v>7.0000000000000007E-2</v>
      </c>
      <c r="N44" s="1">
        <v>711.51</v>
      </c>
      <c r="O44" s="1">
        <v>202.83</v>
      </c>
    </row>
    <row r="45" spans="1:15" x14ac:dyDescent="0.3">
      <c r="A45" s="1" t="s">
        <v>109</v>
      </c>
      <c r="B45" s="1" t="s">
        <v>110</v>
      </c>
      <c r="C45" s="1" t="s">
        <v>134</v>
      </c>
      <c r="D45" s="1" t="s">
        <v>107</v>
      </c>
      <c r="E45" s="1" t="s">
        <v>26</v>
      </c>
      <c r="F45" s="1" t="s">
        <v>20</v>
      </c>
      <c r="G45" s="1" t="s">
        <v>56</v>
      </c>
      <c r="H45" s="1" t="s">
        <v>22</v>
      </c>
      <c r="I45" s="1" t="s">
        <v>35</v>
      </c>
      <c r="J45" s="3">
        <v>45909</v>
      </c>
      <c r="K45" s="1">
        <v>2</v>
      </c>
      <c r="L45" s="1">
        <v>193.77</v>
      </c>
      <c r="M45" s="1">
        <v>0.03</v>
      </c>
      <c r="N45" s="1">
        <v>375.91</v>
      </c>
      <c r="O45" s="1">
        <v>73.86</v>
      </c>
    </row>
    <row r="46" spans="1:15" x14ac:dyDescent="0.3">
      <c r="A46" s="1" t="s">
        <v>46</v>
      </c>
      <c r="B46" s="1" t="s">
        <v>47</v>
      </c>
      <c r="C46" s="1" t="s">
        <v>135</v>
      </c>
      <c r="D46" s="1" t="s">
        <v>136</v>
      </c>
      <c r="E46" s="1" t="s">
        <v>44</v>
      </c>
      <c r="F46" s="1" t="s">
        <v>20</v>
      </c>
      <c r="G46" s="1" t="s">
        <v>27</v>
      </c>
      <c r="H46" s="1" t="s">
        <v>39</v>
      </c>
      <c r="I46" s="1" t="s">
        <v>40</v>
      </c>
      <c r="J46" s="3">
        <v>45811</v>
      </c>
      <c r="K46" s="1">
        <v>2</v>
      </c>
      <c r="L46" s="1">
        <v>296.02</v>
      </c>
      <c r="M46" s="1">
        <v>7.0000000000000007E-2</v>
      </c>
      <c r="N46" s="1">
        <v>550.6</v>
      </c>
      <c r="O46" s="1">
        <v>163.25</v>
      </c>
    </row>
    <row r="47" spans="1:15" x14ac:dyDescent="0.3">
      <c r="A47" s="1" t="s">
        <v>41</v>
      </c>
      <c r="B47" s="1" t="s">
        <v>42</v>
      </c>
      <c r="C47" s="1" t="s">
        <v>137</v>
      </c>
      <c r="D47" s="1" t="s">
        <v>61</v>
      </c>
      <c r="E47" s="1" t="s">
        <v>26</v>
      </c>
      <c r="F47" s="1" t="s">
        <v>34</v>
      </c>
      <c r="G47" s="1" t="s">
        <v>27</v>
      </c>
      <c r="H47" s="1" t="s">
        <v>51</v>
      </c>
      <c r="I47" s="1" t="s">
        <v>77</v>
      </c>
      <c r="J47" s="1" t="s">
        <v>138</v>
      </c>
      <c r="K47" s="1">
        <v>3</v>
      </c>
      <c r="L47" s="1">
        <v>245.36</v>
      </c>
      <c r="M47" s="1">
        <v>0.08</v>
      </c>
      <c r="N47" s="1">
        <v>677.19</v>
      </c>
      <c r="O47" s="1">
        <v>140.08000000000001</v>
      </c>
    </row>
    <row r="48" spans="1:15" x14ac:dyDescent="0.3">
      <c r="A48" s="1" t="s">
        <v>53</v>
      </c>
      <c r="B48" s="1" t="s">
        <v>54</v>
      </c>
      <c r="C48" s="1" t="s">
        <v>139</v>
      </c>
      <c r="D48" s="1" t="s">
        <v>65</v>
      </c>
      <c r="E48" s="1" t="s">
        <v>70</v>
      </c>
      <c r="F48" s="1" t="s">
        <v>34</v>
      </c>
      <c r="G48" s="1" t="s">
        <v>21</v>
      </c>
      <c r="H48" s="1" t="s">
        <v>39</v>
      </c>
      <c r="I48" s="1" t="s">
        <v>40</v>
      </c>
      <c r="J48" s="3">
        <v>45906</v>
      </c>
      <c r="K48" s="1">
        <v>3</v>
      </c>
      <c r="L48" s="1">
        <v>44.81</v>
      </c>
      <c r="M48" s="1">
        <v>0.2</v>
      </c>
      <c r="N48" s="1">
        <v>107.54</v>
      </c>
      <c r="O48" s="1">
        <v>31.74</v>
      </c>
    </row>
    <row r="49" spans="1:15" x14ac:dyDescent="0.3">
      <c r="A49" s="1" t="s">
        <v>62</v>
      </c>
      <c r="B49" s="1" t="s">
        <v>63</v>
      </c>
      <c r="C49" s="1" t="s">
        <v>140</v>
      </c>
      <c r="D49" s="1" t="s">
        <v>61</v>
      </c>
      <c r="E49" s="1" t="s">
        <v>70</v>
      </c>
      <c r="F49" s="1" t="s">
        <v>34</v>
      </c>
      <c r="G49" s="1" t="s">
        <v>56</v>
      </c>
      <c r="H49" s="1" t="s">
        <v>39</v>
      </c>
      <c r="I49" s="1" t="s">
        <v>66</v>
      </c>
      <c r="J49" s="3">
        <v>46000</v>
      </c>
      <c r="K49" s="1">
        <v>10</v>
      </c>
      <c r="L49" s="1">
        <v>473.74</v>
      </c>
      <c r="M49" s="1">
        <v>0.23</v>
      </c>
      <c r="N49" s="1">
        <v>3647.8</v>
      </c>
      <c r="O49" s="1">
        <v>415.81</v>
      </c>
    </row>
    <row r="50" spans="1:15" x14ac:dyDescent="0.3">
      <c r="A50" s="1" t="s">
        <v>62</v>
      </c>
      <c r="B50" s="1" t="s">
        <v>63</v>
      </c>
      <c r="C50" s="1" t="s">
        <v>141</v>
      </c>
      <c r="D50" s="1" t="s">
        <v>18</v>
      </c>
      <c r="E50" s="1" t="s">
        <v>44</v>
      </c>
      <c r="F50" s="1" t="s">
        <v>34</v>
      </c>
      <c r="G50" s="1" t="s">
        <v>21</v>
      </c>
      <c r="H50" s="1" t="s">
        <v>39</v>
      </c>
      <c r="I50" s="1" t="s">
        <v>40</v>
      </c>
      <c r="J50" s="1" t="s">
        <v>142</v>
      </c>
      <c r="K50" s="1">
        <v>3</v>
      </c>
      <c r="L50" s="1">
        <v>190.38</v>
      </c>
      <c r="M50" s="1">
        <v>0.21</v>
      </c>
      <c r="N50" s="1">
        <v>451.2</v>
      </c>
      <c r="O50" s="1">
        <v>84.65</v>
      </c>
    </row>
    <row r="51" spans="1:15" x14ac:dyDescent="0.3">
      <c r="A51" s="1" t="s">
        <v>41</v>
      </c>
      <c r="B51" s="1" t="s">
        <v>42</v>
      </c>
      <c r="C51" s="1" t="s">
        <v>143</v>
      </c>
      <c r="D51" s="1" t="s">
        <v>38</v>
      </c>
      <c r="E51" s="1" t="s">
        <v>44</v>
      </c>
      <c r="F51" s="1" t="s">
        <v>34</v>
      </c>
      <c r="G51" s="1" t="s">
        <v>50</v>
      </c>
      <c r="H51" s="1" t="s">
        <v>28</v>
      </c>
      <c r="I51" s="1" t="s">
        <v>29</v>
      </c>
      <c r="J51" s="1" t="s">
        <v>144</v>
      </c>
      <c r="K51" s="1">
        <v>4</v>
      </c>
      <c r="L51" s="1">
        <v>338.27</v>
      </c>
      <c r="M51" s="1">
        <v>0.18</v>
      </c>
      <c r="N51" s="1">
        <v>1109.53</v>
      </c>
      <c r="O51" s="1">
        <v>130.6</v>
      </c>
    </row>
    <row r="52" spans="1:15" x14ac:dyDescent="0.3">
      <c r="A52" s="1" t="s">
        <v>41</v>
      </c>
      <c r="B52" s="1" t="s">
        <v>42</v>
      </c>
      <c r="C52" s="1" t="s">
        <v>145</v>
      </c>
      <c r="D52" s="1" t="s">
        <v>136</v>
      </c>
      <c r="E52" s="1" t="s">
        <v>44</v>
      </c>
      <c r="F52" s="1" t="s">
        <v>34</v>
      </c>
      <c r="G52" s="1" t="s">
        <v>50</v>
      </c>
      <c r="H52" s="1" t="s">
        <v>39</v>
      </c>
      <c r="I52" s="1" t="s">
        <v>86</v>
      </c>
      <c r="J52" s="1" t="s">
        <v>146</v>
      </c>
      <c r="K52" s="1">
        <v>5</v>
      </c>
      <c r="L52" s="1">
        <v>101.23</v>
      </c>
      <c r="M52" s="1">
        <v>0.21</v>
      </c>
      <c r="N52" s="1">
        <v>399.86</v>
      </c>
      <c r="O52" s="1">
        <v>71.760000000000005</v>
      </c>
    </row>
    <row r="53" spans="1:15" x14ac:dyDescent="0.3">
      <c r="A53" s="1" t="s">
        <v>15</v>
      </c>
      <c r="B53" s="1" t="s">
        <v>16</v>
      </c>
      <c r="C53" s="1" t="s">
        <v>147</v>
      </c>
      <c r="D53" s="1" t="s">
        <v>49</v>
      </c>
      <c r="E53" s="1" t="s">
        <v>26</v>
      </c>
      <c r="F53" s="1" t="s">
        <v>34</v>
      </c>
      <c r="G53" s="1" t="s">
        <v>50</v>
      </c>
      <c r="H53" s="1" t="s">
        <v>22</v>
      </c>
      <c r="I53" s="1" t="s">
        <v>148</v>
      </c>
      <c r="J53" s="1" t="s">
        <v>149</v>
      </c>
      <c r="K53" s="1">
        <v>5</v>
      </c>
      <c r="L53" s="1">
        <v>483.87</v>
      </c>
      <c r="M53" s="1">
        <v>7.0000000000000007E-2</v>
      </c>
      <c r="N53" s="1">
        <v>2250</v>
      </c>
      <c r="O53" s="1">
        <v>479.62</v>
      </c>
    </row>
    <row r="54" spans="1:15" x14ac:dyDescent="0.3">
      <c r="A54" s="1" t="s">
        <v>30</v>
      </c>
      <c r="B54" s="1" t="s">
        <v>31</v>
      </c>
      <c r="C54" s="1" t="s">
        <v>150</v>
      </c>
      <c r="D54" s="1" t="s">
        <v>69</v>
      </c>
      <c r="E54" s="1" t="s">
        <v>26</v>
      </c>
      <c r="F54" s="1" t="s">
        <v>20</v>
      </c>
      <c r="G54" s="1" t="s">
        <v>50</v>
      </c>
      <c r="H54" s="1" t="s">
        <v>22</v>
      </c>
      <c r="I54" s="1" t="s">
        <v>116</v>
      </c>
      <c r="J54" s="1" t="s">
        <v>151</v>
      </c>
      <c r="K54" s="1">
        <v>1</v>
      </c>
      <c r="L54" s="1">
        <v>97.26</v>
      </c>
      <c r="M54" s="1">
        <v>0.13</v>
      </c>
      <c r="N54" s="1">
        <v>84.62</v>
      </c>
      <c r="O54" s="1">
        <v>12.27</v>
      </c>
    </row>
    <row r="55" spans="1:15" x14ac:dyDescent="0.3">
      <c r="A55" s="1" t="s">
        <v>62</v>
      </c>
      <c r="B55" s="1" t="s">
        <v>63</v>
      </c>
      <c r="C55" s="1" t="s">
        <v>152</v>
      </c>
      <c r="D55" s="1" t="s">
        <v>61</v>
      </c>
      <c r="E55" s="1" t="s">
        <v>44</v>
      </c>
      <c r="F55" s="1" t="s">
        <v>20</v>
      </c>
      <c r="G55" s="1" t="s">
        <v>50</v>
      </c>
      <c r="H55" s="1" t="s">
        <v>28</v>
      </c>
      <c r="I55" s="1" t="s">
        <v>29</v>
      </c>
      <c r="J55" s="1" t="s">
        <v>94</v>
      </c>
      <c r="K55" s="1">
        <v>9</v>
      </c>
      <c r="L55" s="1">
        <v>205.89</v>
      </c>
      <c r="M55" s="1">
        <v>0.14000000000000001</v>
      </c>
      <c r="N55" s="1">
        <v>1593.59</v>
      </c>
      <c r="O55" s="1">
        <v>330.92</v>
      </c>
    </row>
    <row r="56" spans="1:15" x14ac:dyDescent="0.3">
      <c r="A56" s="1" t="s">
        <v>46</v>
      </c>
      <c r="B56" s="1" t="s">
        <v>47</v>
      </c>
      <c r="C56" s="1" t="s">
        <v>153</v>
      </c>
      <c r="D56" s="1" t="s">
        <v>33</v>
      </c>
      <c r="E56" s="1" t="s">
        <v>26</v>
      </c>
      <c r="F56" s="1" t="s">
        <v>20</v>
      </c>
      <c r="G56" s="1" t="s">
        <v>56</v>
      </c>
      <c r="H56" s="1" t="s">
        <v>22</v>
      </c>
      <c r="I56" s="1" t="s">
        <v>35</v>
      </c>
      <c r="J56" s="3">
        <v>45875</v>
      </c>
      <c r="K56" s="1">
        <v>8</v>
      </c>
      <c r="L56" s="1">
        <v>57.66</v>
      </c>
      <c r="M56" s="1">
        <v>0.06</v>
      </c>
      <c r="N56" s="1">
        <v>433.6</v>
      </c>
      <c r="O56" s="1">
        <v>81.98</v>
      </c>
    </row>
    <row r="57" spans="1:15" x14ac:dyDescent="0.3">
      <c r="A57" s="1" t="s">
        <v>109</v>
      </c>
      <c r="B57" s="1" t="s">
        <v>110</v>
      </c>
      <c r="C57" s="1" t="s">
        <v>154</v>
      </c>
      <c r="D57" s="1" t="s">
        <v>38</v>
      </c>
      <c r="E57" s="1" t="s">
        <v>26</v>
      </c>
      <c r="F57" s="1" t="s">
        <v>20</v>
      </c>
      <c r="G57" s="1" t="s">
        <v>21</v>
      </c>
      <c r="H57" s="1" t="s">
        <v>39</v>
      </c>
      <c r="I57" s="1" t="s">
        <v>40</v>
      </c>
      <c r="J57" s="1" t="s">
        <v>155</v>
      </c>
      <c r="K57" s="1">
        <v>4</v>
      </c>
      <c r="L57" s="1">
        <v>208.59</v>
      </c>
      <c r="M57" s="1">
        <v>0.28000000000000003</v>
      </c>
      <c r="N57" s="1">
        <v>600.74</v>
      </c>
      <c r="O57" s="1">
        <v>76.63</v>
      </c>
    </row>
    <row r="58" spans="1:15" x14ac:dyDescent="0.3">
      <c r="A58" s="1" t="s">
        <v>15</v>
      </c>
      <c r="B58" s="1" t="s">
        <v>16</v>
      </c>
      <c r="C58" s="1" t="s">
        <v>156</v>
      </c>
      <c r="D58" s="1" t="s">
        <v>69</v>
      </c>
      <c r="E58" s="1" t="s">
        <v>70</v>
      </c>
      <c r="F58" s="1" t="s">
        <v>20</v>
      </c>
      <c r="G58" s="1" t="s">
        <v>21</v>
      </c>
      <c r="H58" s="1" t="s">
        <v>39</v>
      </c>
      <c r="I58" s="1" t="s">
        <v>66</v>
      </c>
      <c r="J58" s="1" t="s">
        <v>157</v>
      </c>
      <c r="K58" s="1">
        <v>3</v>
      </c>
      <c r="L58" s="1">
        <v>55.36</v>
      </c>
      <c r="M58" s="1">
        <v>0.05</v>
      </c>
      <c r="N58" s="1">
        <v>157.78</v>
      </c>
      <c r="O58" s="1">
        <v>29.36</v>
      </c>
    </row>
    <row r="59" spans="1:15" x14ac:dyDescent="0.3">
      <c r="A59" s="1" t="s">
        <v>46</v>
      </c>
      <c r="B59" s="1" t="s">
        <v>47</v>
      </c>
      <c r="C59" s="1" t="s">
        <v>158</v>
      </c>
      <c r="D59" s="1" t="s">
        <v>107</v>
      </c>
      <c r="E59" s="1" t="s">
        <v>70</v>
      </c>
      <c r="F59" s="1" t="s">
        <v>20</v>
      </c>
      <c r="G59" s="1" t="s">
        <v>21</v>
      </c>
      <c r="H59" s="1" t="s">
        <v>51</v>
      </c>
      <c r="I59" s="1" t="s">
        <v>57</v>
      </c>
      <c r="J59" s="3">
        <v>45780</v>
      </c>
      <c r="K59" s="1">
        <v>1</v>
      </c>
      <c r="L59" s="1">
        <v>490.93</v>
      </c>
      <c r="M59" s="1">
        <v>0.16</v>
      </c>
      <c r="N59" s="1">
        <v>412.38</v>
      </c>
      <c r="O59" s="1">
        <v>52.52</v>
      </c>
    </row>
    <row r="60" spans="1:15" x14ac:dyDescent="0.3">
      <c r="A60" s="1" t="s">
        <v>30</v>
      </c>
      <c r="B60" s="1" t="s">
        <v>31</v>
      </c>
      <c r="C60" s="1" t="s">
        <v>159</v>
      </c>
      <c r="D60" s="1" t="s">
        <v>49</v>
      </c>
      <c r="E60" s="1" t="s">
        <v>19</v>
      </c>
      <c r="F60" s="1" t="s">
        <v>34</v>
      </c>
      <c r="G60" s="1" t="s">
        <v>56</v>
      </c>
      <c r="H60" s="1" t="s">
        <v>51</v>
      </c>
      <c r="I60" s="1" t="s">
        <v>77</v>
      </c>
      <c r="J60" s="3">
        <v>45908</v>
      </c>
      <c r="K60" s="1">
        <v>2</v>
      </c>
      <c r="L60" s="1">
        <v>51.87</v>
      </c>
      <c r="M60" s="1">
        <v>0.2</v>
      </c>
      <c r="N60" s="1">
        <v>82.99</v>
      </c>
      <c r="O60" s="1">
        <v>8.9</v>
      </c>
    </row>
    <row r="61" spans="1:15" x14ac:dyDescent="0.3">
      <c r="A61" s="1" t="s">
        <v>62</v>
      </c>
      <c r="B61" s="1" t="s">
        <v>63</v>
      </c>
      <c r="C61" s="1" t="s">
        <v>160</v>
      </c>
      <c r="D61" s="1" t="s">
        <v>18</v>
      </c>
      <c r="E61" s="1" t="s">
        <v>44</v>
      </c>
      <c r="F61" s="1" t="s">
        <v>20</v>
      </c>
      <c r="G61" s="1" t="s">
        <v>56</v>
      </c>
      <c r="H61" s="1" t="s">
        <v>51</v>
      </c>
      <c r="I61" s="1" t="s">
        <v>57</v>
      </c>
      <c r="J61" s="1" t="s">
        <v>161</v>
      </c>
      <c r="K61" s="1">
        <v>3</v>
      </c>
      <c r="L61" s="1">
        <v>254.86</v>
      </c>
      <c r="M61" s="1">
        <v>0.2</v>
      </c>
      <c r="N61" s="1">
        <v>611.66</v>
      </c>
      <c r="O61" s="1">
        <v>79.06</v>
      </c>
    </row>
    <row r="62" spans="1:15" x14ac:dyDescent="0.3">
      <c r="A62" s="1" t="s">
        <v>30</v>
      </c>
      <c r="B62" s="1" t="s">
        <v>31</v>
      </c>
      <c r="C62" s="1" t="s">
        <v>162</v>
      </c>
      <c r="D62" s="1" t="s">
        <v>83</v>
      </c>
      <c r="E62" s="1" t="s">
        <v>19</v>
      </c>
      <c r="F62" s="1" t="s">
        <v>20</v>
      </c>
      <c r="G62" s="1" t="s">
        <v>27</v>
      </c>
      <c r="H62" s="1" t="s">
        <v>28</v>
      </c>
      <c r="I62" s="1" t="s">
        <v>73</v>
      </c>
      <c r="J62" s="3">
        <v>45816</v>
      </c>
      <c r="K62" s="1">
        <v>1</v>
      </c>
      <c r="L62" s="1">
        <v>90.17</v>
      </c>
      <c r="M62" s="1">
        <v>0.24</v>
      </c>
      <c r="N62" s="1">
        <v>68.53</v>
      </c>
      <c r="O62" s="1">
        <v>18.48</v>
      </c>
    </row>
    <row r="63" spans="1:15" x14ac:dyDescent="0.3">
      <c r="A63" s="1" t="s">
        <v>58</v>
      </c>
      <c r="B63" s="1" t="s">
        <v>59</v>
      </c>
      <c r="C63" s="1" t="s">
        <v>163</v>
      </c>
      <c r="D63" s="1" t="s">
        <v>69</v>
      </c>
      <c r="E63" s="1" t="s">
        <v>26</v>
      </c>
      <c r="F63" s="1" t="s">
        <v>34</v>
      </c>
      <c r="G63" s="1" t="s">
        <v>50</v>
      </c>
      <c r="H63" s="1" t="s">
        <v>28</v>
      </c>
      <c r="I63" s="1" t="s">
        <v>45</v>
      </c>
      <c r="J63" s="1" t="s">
        <v>164</v>
      </c>
      <c r="K63" s="1">
        <v>4</v>
      </c>
      <c r="L63" s="1">
        <v>210.33</v>
      </c>
      <c r="M63" s="1">
        <v>0.28000000000000003</v>
      </c>
      <c r="N63" s="1">
        <v>605.75</v>
      </c>
      <c r="O63" s="1">
        <v>144.03</v>
      </c>
    </row>
    <row r="64" spans="1:15" x14ac:dyDescent="0.3">
      <c r="A64" s="1" t="s">
        <v>62</v>
      </c>
      <c r="B64" s="1" t="s">
        <v>63</v>
      </c>
      <c r="C64" s="1" t="s">
        <v>165</v>
      </c>
      <c r="D64" s="1" t="s">
        <v>61</v>
      </c>
      <c r="E64" s="1" t="s">
        <v>44</v>
      </c>
      <c r="F64" s="1" t="s">
        <v>34</v>
      </c>
      <c r="G64" s="1" t="s">
        <v>50</v>
      </c>
      <c r="H64" s="1" t="s">
        <v>39</v>
      </c>
      <c r="I64" s="1" t="s">
        <v>40</v>
      </c>
      <c r="J64" s="1" t="s">
        <v>166</v>
      </c>
      <c r="K64" s="1">
        <v>5</v>
      </c>
      <c r="L64" s="1">
        <v>166.82</v>
      </c>
      <c r="M64" s="1">
        <v>0.15</v>
      </c>
      <c r="N64" s="1">
        <v>708.98</v>
      </c>
      <c r="O64" s="1">
        <v>111.19</v>
      </c>
    </row>
    <row r="65" spans="1:15" x14ac:dyDescent="0.3">
      <c r="A65" s="1" t="s">
        <v>58</v>
      </c>
      <c r="B65" s="1" t="s">
        <v>59</v>
      </c>
      <c r="C65" s="1" t="s">
        <v>167</v>
      </c>
      <c r="D65" s="1" t="s">
        <v>33</v>
      </c>
      <c r="E65" s="1" t="s">
        <v>70</v>
      </c>
      <c r="F65" s="1" t="s">
        <v>34</v>
      </c>
      <c r="G65" s="1" t="s">
        <v>50</v>
      </c>
      <c r="H65" s="1" t="s">
        <v>51</v>
      </c>
      <c r="I65" s="1" t="s">
        <v>77</v>
      </c>
      <c r="J65" s="3">
        <v>45968</v>
      </c>
      <c r="K65" s="1">
        <v>5</v>
      </c>
      <c r="L65" s="1">
        <v>151.03</v>
      </c>
      <c r="M65" s="1">
        <v>0.03</v>
      </c>
      <c r="N65" s="1">
        <v>732.5</v>
      </c>
      <c r="O65" s="1">
        <v>142.26</v>
      </c>
    </row>
    <row r="66" spans="1:15" x14ac:dyDescent="0.3">
      <c r="A66" s="1" t="s">
        <v>90</v>
      </c>
      <c r="B66" s="1" t="s">
        <v>91</v>
      </c>
      <c r="C66" s="1" t="s">
        <v>168</v>
      </c>
      <c r="D66" s="1" t="s">
        <v>33</v>
      </c>
      <c r="E66" s="1" t="s">
        <v>19</v>
      </c>
      <c r="F66" s="1" t="s">
        <v>34</v>
      </c>
      <c r="G66" s="1" t="s">
        <v>56</v>
      </c>
      <c r="H66" s="1" t="s">
        <v>51</v>
      </c>
      <c r="I66" s="1" t="s">
        <v>77</v>
      </c>
      <c r="J66" s="1" t="s">
        <v>169</v>
      </c>
      <c r="K66" s="1">
        <v>5</v>
      </c>
      <c r="L66" s="1">
        <v>130.38</v>
      </c>
      <c r="M66" s="1">
        <v>0.04</v>
      </c>
      <c r="N66" s="1">
        <v>625.82000000000005</v>
      </c>
      <c r="O66" s="1">
        <v>130.44999999999999</v>
      </c>
    </row>
    <row r="67" spans="1:15" x14ac:dyDescent="0.3">
      <c r="A67" s="1" t="s">
        <v>90</v>
      </c>
      <c r="B67" s="1" t="s">
        <v>91</v>
      </c>
      <c r="C67" s="1" t="s">
        <v>170</v>
      </c>
      <c r="D67" s="1" t="s">
        <v>33</v>
      </c>
      <c r="E67" s="1" t="s">
        <v>19</v>
      </c>
      <c r="F67" s="1" t="s">
        <v>20</v>
      </c>
      <c r="G67" s="1" t="s">
        <v>27</v>
      </c>
      <c r="H67" s="1" t="s">
        <v>22</v>
      </c>
      <c r="I67" s="1" t="s">
        <v>35</v>
      </c>
      <c r="J67" s="3">
        <v>45870</v>
      </c>
      <c r="K67" s="1">
        <v>1</v>
      </c>
      <c r="L67" s="1">
        <v>362.62</v>
      </c>
      <c r="M67" s="1">
        <v>0.22</v>
      </c>
      <c r="N67" s="1">
        <v>282.83999999999997</v>
      </c>
      <c r="O67" s="1">
        <v>83.53</v>
      </c>
    </row>
    <row r="68" spans="1:15" x14ac:dyDescent="0.3">
      <c r="A68" s="1" t="s">
        <v>109</v>
      </c>
      <c r="B68" s="1" t="s">
        <v>110</v>
      </c>
      <c r="C68" s="1" t="s">
        <v>171</v>
      </c>
      <c r="D68" s="1" t="s">
        <v>38</v>
      </c>
      <c r="E68" s="1" t="s">
        <v>70</v>
      </c>
      <c r="F68" s="1" t="s">
        <v>34</v>
      </c>
      <c r="G68" s="1" t="s">
        <v>50</v>
      </c>
      <c r="H68" s="1" t="s">
        <v>28</v>
      </c>
      <c r="I68" s="1" t="s">
        <v>93</v>
      </c>
      <c r="J68" s="1" t="s">
        <v>172</v>
      </c>
      <c r="K68" s="1">
        <v>10</v>
      </c>
      <c r="L68" s="1">
        <v>364.84</v>
      </c>
      <c r="M68" s="1">
        <v>0.14000000000000001</v>
      </c>
      <c r="N68" s="1">
        <v>3137.62</v>
      </c>
      <c r="O68" s="1">
        <v>579.44000000000005</v>
      </c>
    </row>
    <row r="69" spans="1:15" x14ac:dyDescent="0.3">
      <c r="A69" s="1" t="s">
        <v>41</v>
      </c>
      <c r="B69" s="1" t="s">
        <v>42</v>
      </c>
      <c r="C69" s="1" t="s">
        <v>173</v>
      </c>
      <c r="D69" s="1" t="s">
        <v>83</v>
      </c>
      <c r="E69" s="1" t="s">
        <v>44</v>
      </c>
      <c r="F69" s="1" t="s">
        <v>34</v>
      </c>
      <c r="G69" s="1" t="s">
        <v>21</v>
      </c>
      <c r="H69" s="1" t="s">
        <v>28</v>
      </c>
      <c r="I69" s="1" t="s">
        <v>45</v>
      </c>
      <c r="J69" s="3">
        <v>45719</v>
      </c>
      <c r="K69" s="1">
        <v>4</v>
      </c>
      <c r="L69" s="1">
        <v>28.76</v>
      </c>
      <c r="M69" s="1">
        <v>0.09</v>
      </c>
      <c r="N69" s="1">
        <v>104.69</v>
      </c>
      <c r="O69" s="1">
        <v>23.53</v>
      </c>
    </row>
    <row r="70" spans="1:15" x14ac:dyDescent="0.3">
      <c r="A70" s="1" t="s">
        <v>109</v>
      </c>
      <c r="B70" s="1" t="s">
        <v>110</v>
      </c>
      <c r="C70" s="1" t="s">
        <v>174</v>
      </c>
      <c r="D70" s="1" t="s">
        <v>18</v>
      </c>
      <c r="E70" s="1" t="s">
        <v>70</v>
      </c>
      <c r="F70" s="1" t="s">
        <v>20</v>
      </c>
      <c r="G70" s="1" t="s">
        <v>50</v>
      </c>
      <c r="H70" s="1" t="s">
        <v>51</v>
      </c>
      <c r="I70" s="1" t="s">
        <v>77</v>
      </c>
      <c r="J70" s="1" t="s">
        <v>175</v>
      </c>
      <c r="K70" s="1">
        <v>3</v>
      </c>
      <c r="L70" s="1">
        <v>293.38</v>
      </c>
      <c r="M70" s="1">
        <v>0.14000000000000001</v>
      </c>
      <c r="N70" s="1">
        <v>756.92</v>
      </c>
      <c r="O70" s="1">
        <v>99.43</v>
      </c>
    </row>
    <row r="71" spans="1:15" x14ac:dyDescent="0.3">
      <c r="A71" s="1" t="s">
        <v>58</v>
      </c>
      <c r="B71" s="1" t="s">
        <v>59</v>
      </c>
      <c r="C71" s="1" t="s">
        <v>176</v>
      </c>
      <c r="D71" s="1" t="s">
        <v>65</v>
      </c>
      <c r="E71" s="1" t="s">
        <v>19</v>
      </c>
      <c r="F71" s="1" t="s">
        <v>20</v>
      </c>
      <c r="G71" s="1" t="s">
        <v>56</v>
      </c>
      <c r="H71" s="1" t="s">
        <v>22</v>
      </c>
      <c r="I71" s="1" t="s">
        <v>35</v>
      </c>
      <c r="J71" s="3">
        <v>45669</v>
      </c>
      <c r="K71" s="1">
        <v>4</v>
      </c>
      <c r="L71" s="1">
        <v>342</v>
      </c>
      <c r="M71" s="1">
        <v>0.25</v>
      </c>
      <c r="N71" s="1">
        <v>1026</v>
      </c>
      <c r="O71" s="1">
        <v>252.36</v>
      </c>
    </row>
    <row r="72" spans="1:15" x14ac:dyDescent="0.3">
      <c r="A72" s="1" t="s">
        <v>41</v>
      </c>
      <c r="B72" s="1" t="s">
        <v>42</v>
      </c>
      <c r="C72" s="1" t="s">
        <v>177</v>
      </c>
      <c r="D72" s="1" t="s">
        <v>65</v>
      </c>
      <c r="E72" s="1" t="s">
        <v>26</v>
      </c>
      <c r="F72" s="1" t="s">
        <v>20</v>
      </c>
      <c r="G72" s="1" t="s">
        <v>50</v>
      </c>
      <c r="H72" s="1" t="s">
        <v>51</v>
      </c>
      <c r="I72" s="1" t="s">
        <v>57</v>
      </c>
      <c r="J72" s="1" t="s">
        <v>178</v>
      </c>
      <c r="K72" s="1">
        <v>8</v>
      </c>
      <c r="L72" s="1">
        <v>312.98</v>
      </c>
      <c r="M72" s="1">
        <v>0.21</v>
      </c>
      <c r="N72" s="1">
        <v>1978.03</v>
      </c>
      <c r="O72" s="1">
        <v>374.38</v>
      </c>
    </row>
    <row r="73" spans="1:15" x14ac:dyDescent="0.3">
      <c r="A73" s="1" t="s">
        <v>58</v>
      </c>
      <c r="B73" s="1" t="s">
        <v>59</v>
      </c>
      <c r="C73" s="1" t="s">
        <v>179</v>
      </c>
      <c r="D73" s="1" t="s">
        <v>18</v>
      </c>
      <c r="E73" s="1" t="s">
        <v>19</v>
      </c>
      <c r="F73" s="1" t="s">
        <v>34</v>
      </c>
      <c r="G73" s="1" t="s">
        <v>56</v>
      </c>
      <c r="H73" s="1" t="s">
        <v>51</v>
      </c>
      <c r="I73" s="1" t="s">
        <v>112</v>
      </c>
      <c r="J73" s="1" t="s">
        <v>180</v>
      </c>
      <c r="K73" s="1">
        <v>10</v>
      </c>
      <c r="L73" s="1">
        <v>250.57</v>
      </c>
      <c r="M73" s="1">
        <v>0.3</v>
      </c>
      <c r="N73" s="1">
        <v>1753.99</v>
      </c>
      <c r="O73" s="1">
        <v>377.13</v>
      </c>
    </row>
    <row r="74" spans="1:15" x14ac:dyDescent="0.3">
      <c r="A74" s="1" t="s">
        <v>109</v>
      </c>
      <c r="B74" s="1" t="s">
        <v>110</v>
      </c>
      <c r="C74" s="1" t="s">
        <v>181</v>
      </c>
      <c r="D74" s="1" t="s">
        <v>33</v>
      </c>
      <c r="E74" s="1" t="s">
        <v>26</v>
      </c>
      <c r="F74" s="1" t="s">
        <v>34</v>
      </c>
      <c r="G74" s="1" t="s">
        <v>21</v>
      </c>
      <c r="H74" s="1" t="s">
        <v>22</v>
      </c>
      <c r="I74" s="1" t="s">
        <v>23</v>
      </c>
      <c r="J74" s="3">
        <v>45663</v>
      </c>
      <c r="K74" s="1">
        <v>3</v>
      </c>
      <c r="L74" s="1">
        <v>266.05</v>
      </c>
      <c r="M74" s="1">
        <v>0.21</v>
      </c>
      <c r="N74" s="1">
        <v>630.54</v>
      </c>
      <c r="O74" s="1">
        <v>88.64</v>
      </c>
    </row>
    <row r="75" spans="1:15" x14ac:dyDescent="0.3">
      <c r="A75" s="1" t="s">
        <v>46</v>
      </c>
      <c r="B75" s="1" t="s">
        <v>47</v>
      </c>
      <c r="C75" s="1" t="s">
        <v>182</v>
      </c>
      <c r="D75" s="1" t="s">
        <v>18</v>
      </c>
      <c r="E75" s="1" t="s">
        <v>44</v>
      </c>
      <c r="F75" s="1" t="s">
        <v>34</v>
      </c>
      <c r="G75" s="1" t="s">
        <v>27</v>
      </c>
      <c r="H75" s="1" t="s">
        <v>28</v>
      </c>
      <c r="I75" s="1" t="s">
        <v>29</v>
      </c>
      <c r="J75" s="3">
        <v>45847</v>
      </c>
      <c r="K75" s="1">
        <v>2</v>
      </c>
      <c r="L75" s="1">
        <v>130.13</v>
      </c>
      <c r="M75" s="1">
        <v>0.23</v>
      </c>
      <c r="N75" s="1">
        <v>200.4</v>
      </c>
      <c r="O75" s="1">
        <v>23.16</v>
      </c>
    </row>
    <row r="76" spans="1:15" x14ac:dyDescent="0.3">
      <c r="A76" s="1" t="s">
        <v>46</v>
      </c>
      <c r="B76" s="1" t="s">
        <v>47</v>
      </c>
      <c r="C76" s="1" t="s">
        <v>183</v>
      </c>
      <c r="D76" s="1" t="s">
        <v>61</v>
      </c>
      <c r="E76" s="1" t="s">
        <v>70</v>
      </c>
      <c r="F76" s="1" t="s">
        <v>34</v>
      </c>
      <c r="G76" s="1" t="s">
        <v>27</v>
      </c>
      <c r="H76" s="1" t="s">
        <v>51</v>
      </c>
      <c r="I76" s="1" t="s">
        <v>112</v>
      </c>
      <c r="J76" s="1" t="s">
        <v>184</v>
      </c>
      <c r="K76" s="1">
        <v>10</v>
      </c>
      <c r="L76" s="1">
        <v>343.26</v>
      </c>
      <c r="M76" s="1">
        <v>0.21</v>
      </c>
      <c r="N76" s="1">
        <v>2711.75</v>
      </c>
      <c r="O76" s="1">
        <v>796.03</v>
      </c>
    </row>
    <row r="77" spans="1:15" x14ac:dyDescent="0.3">
      <c r="A77" s="1" t="s">
        <v>79</v>
      </c>
      <c r="B77" s="1" t="s">
        <v>80</v>
      </c>
      <c r="C77" s="1" t="s">
        <v>185</v>
      </c>
      <c r="D77" s="1" t="s">
        <v>136</v>
      </c>
      <c r="E77" s="1" t="s">
        <v>44</v>
      </c>
      <c r="F77" s="1" t="s">
        <v>20</v>
      </c>
      <c r="G77" s="1" t="s">
        <v>56</v>
      </c>
      <c r="H77" s="1" t="s">
        <v>28</v>
      </c>
      <c r="I77" s="1" t="s">
        <v>45</v>
      </c>
      <c r="J77" s="1" t="s">
        <v>186</v>
      </c>
      <c r="K77" s="1">
        <v>3</v>
      </c>
      <c r="L77" s="1">
        <v>67.25</v>
      </c>
      <c r="M77" s="1">
        <v>0.19</v>
      </c>
      <c r="N77" s="1">
        <v>163.41999999999999</v>
      </c>
      <c r="O77" s="1">
        <v>20.47</v>
      </c>
    </row>
    <row r="78" spans="1:15" x14ac:dyDescent="0.3">
      <c r="A78" s="1" t="s">
        <v>53</v>
      </c>
      <c r="B78" s="1" t="s">
        <v>54</v>
      </c>
      <c r="C78" s="1" t="s">
        <v>187</v>
      </c>
      <c r="D78" s="1" t="s">
        <v>83</v>
      </c>
      <c r="E78" s="1" t="s">
        <v>44</v>
      </c>
      <c r="F78" s="1" t="s">
        <v>34</v>
      </c>
      <c r="G78" s="1" t="s">
        <v>21</v>
      </c>
      <c r="H78" s="1" t="s">
        <v>28</v>
      </c>
      <c r="I78" s="1" t="s">
        <v>29</v>
      </c>
      <c r="J78" s="1" t="s">
        <v>188</v>
      </c>
      <c r="K78" s="1">
        <v>1</v>
      </c>
      <c r="L78" s="1">
        <v>351.48</v>
      </c>
      <c r="M78" s="1">
        <v>0.03</v>
      </c>
      <c r="N78" s="1">
        <v>340.94</v>
      </c>
      <c r="O78" s="1">
        <v>81.02</v>
      </c>
    </row>
    <row r="79" spans="1:15" x14ac:dyDescent="0.3">
      <c r="A79" s="1" t="s">
        <v>62</v>
      </c>
      <c r="B79" s="1" t="s">
        <v>63</v>
      </c>
      <c r="C79" s="1" t="s">
        <v>189</v>
      </c>
      <c r="D79" s="1" t="s">
        <v>69</v>
      </c>
      <c r="E79" s="1" t="s">
        <v>26</v>
      </c>
      <c r="F79" s="1" t="s">
        <v>34</v>
      </c>
      <c r="G79" s="1" t="s">
        <v>56</v>
      </c>
      <c r="H79" s="1" t="s">
        <v>39</v>
      </c>
      <c r="I79" s="1" t="s">
        <v>86</v>
      </c>
      <c r="J79" s="1" t="s">
        <v>190</v>
      </c>
      <c r="K79" s="1">
        <v>6</v>
      </c>
      <c r="L79" s="1">
        <v>132.19999999999999</v>
      </c>
      <c r="M79" s="1">
        <v>0.3</v>
      </c>
      <c r="N79" s="1">
        <v>555.24</v>
      </c>
      <c r="O79" s="1">
        <v>139.47</v>
      </c>
    </row>
    <row r="80" spans="1:15" x14ac:dyDescent="0.3">
      <c r="A80" s="1" t="s">
        <v>109</v>
      </c>
      <c r="B80" s="1" t="s">
        <v>110</v>
      </c>
      <c r="C80" s="1" t="s">
        <v>191</v>
      </c>
      <c r="D80" s="1" t="s">
        <v>107</v>
      </c>
      <c r="E80" s="1" t="s">
        <v>19</v>
      </c>
      <c r="F80" s="1" t="s">
        <v>34</v>
      </c>
      <c r="G80" s="1" t="s">
        <v>56</v>
      </c>
      <c r="H80" s="1" t="s">
        <v>22</v>
      </c>
      <c r="I80" s="1" t="s">
        <v>23</v>
      </c>
      <c r="J80" s="3">
        <v>45697</v>
      </c>
      <c r="K80" s="1">
        <v>1</v>
      </c>
      <c r="L80" s="1">
        <v>142.74</v>
      </c>
      <c r="M80" s="1">
        <v>0.27</v>
      </c>
      <c r="N80" s="1">
        <v>104.2</v>
      </c>
      <c r="O80" s="1">
        <v>22.74</v>
      </c>
    </row>
    <row r="81" spans="1:15" x14ac:dyDescent="0.3">
      <c r="A81" s="1" t="s">
        <v>53</v>
      </c>
      <c r="B81" s="1" t="s">
        <v>54</v>
      </c>
      <c r="C81" s="1" t="s">
        <v>192</v>
      </c>
      <c r="D81" s="1" t="s">
        <v>83</v>
      </c>
      <c r="E81" s="1" t="s">
        <v>70</v>
      </c>
      <c r="F81" s="1" t="s">
        <v>20</v>
      </c>
      <c r="G81" s="1" t="s">
        <v>27</v>
      </c>
      <c r="H81" s="1" t="s">
        <v>39</v>
      </c>
      <c r="I81" s="1" t="s">
        <v>40</v>
      </c>
      <c r="J81" s="3">
        <v>45691</v>
      </c>
      <c r="K81" s="1">
        <v>10</v>
      </c>
      <c r="L81" s="1">
        <v>102.28</v>
      </c>
      <c r="M81" s="1">
        <v>0.09</v>
      </c>
      <c r="N81" s="1">
        <v>930.75</v>
      </c>
      <c r="O81" s="1">
        <v>279.14999999999998</v>
      </c>
    </row>
    <row r="82" spans="1:15" x14ac:dyDescent="0.3">
      <c r="A82" s="1" t="s">
        <v>62</v>
      </c>
      <c r="B82" s="1" t="s">
        <v>63</v>
      </c>
      <c r="C82" s="1" t="s">
        <v>193</v>
      </c>
      <c r="D82" s="1" t="s">
        <v>49</v>
      </c>
      <c r="E82" s="1" t="s">
        <v>19</v>
      </c>
      <c r="F82" s="1" t="s">
        <v>34</v>
      </c>
      <c r="G82" s="1" t="s">
        <v>56</v>
      </c>
      <c r="H82" s="1" t="s">
        <v>22</v>
      </c>
      <c r="I82" s="1" t="s">
        <v>35</v>
      </c>
      <c r="J82" s="1" t="s">
        <v>194</v>
      </c>
      <c r="K82" s="1">
        <v>1</v>
      </c>
      <c r="L82" s="1">
        <v>348.21</v>
      </c>
      <c r="M82" s="1">
        <v>0.09</v>
      </c>
      <c r="N82" s="1">
        <v>316.87</v>
      </c>
      <c r="O82" s="1">
        <v>87.09</v>
      </c>
    </row>
    <row r="83" spans="1:15" x14ac:dyDescent="0.3">
      <c r="A83" s="1" t="s">
        <v>79</v>
      </c>
      <c r="B83" s="1" t="s">
        <v>80</v>
      </c>
      <c r="C83" s="1" t="s">
        <v>195</v>
      </c>
      <c r="D83" s="1" t="s">
        <v>136</v>
      </c>
      <c r="E83" s="1" t="s">
        <v>26</v>
      </c>
      <c r="F83" s="1" t="s">
        <v>34</v>
      </c>
      <c r="G83" s="1" t="s">
        <v>50</v>
      </c>
      <c r="H83" s="1" t="s">
        <v>51</v>
      </c>
      <c r="I83" s="1" t="s">
        <v>52</v>
      </c>
      <c r="J83" s="3">
        <v>45720</v>
      </c>
      <c r="K83" s="1">
        <v>2</v>
      </c>
      <c r="L83" s="1">
        <v>417.25</v>
      </c>
      <c r="M83" s="1">
        <v>0.19</v>
      </c>
      <c r="N83" s="1">
        <v>675.95</v>
      </c>
      <c r="O83" s="1">
        <v>183.48</v>
      </c>
    </row>
    <row r="84" spans="1:15" x14ac:dyDescent="0.3">
      <c r="A84" s="1" t="s">
        <v>53</v>
      </c>
      <c r="B84" s="1" t="s">
        <v>54</v>
      </c>
      <c r="C84" s="1" t="s">
        <v>196</v>
      </c>
      <c r="D84" s="1" t="s">
        <v>33</v>
      </c>
      <c r="E84" s="1" t="s">
        <v>19</v>
      </c>
      <c r="F84" s="1" t="s">
        <v>34</v>
      </c>
      <c r="G84" s="1" t="s">
        <v>27</v>
      </c>
      <c r="H84" s="1" t="s">
        <v>22</v>
      </c>
      <c r="I84" s="1" t="s">
        <v>23</v>
      </c>
      <c r="J84" s="1" t="s">
        <v>197</v>
      </c>
      <c r="K84" s="1">
        <v>7</v>
      </c>
      <c r="L84" s="1">
        <v>247.81</v>
      </c>
      <c r="M84" s="1">
        <v>0.23</v>
      </c>
      <c r="N84" s="1">
        <v>1335.7</v>
      </c>
      <c r="O84" s="1">
        <v>284.83999999999997</v>
      </c>
    </row>
    <row r="85" spans="1:15" x14ac:dyDescent="0.3">
      <c r="A85" s="1" t="s">
        <v>109</v>
      </c>
      <c r="B85" s="1" t="s">
        <v>110</v>
      </c>
      <c r="C85" s="1" t="s">
        <v>198</v>
      </c>
      <c r="D85" s="1" t="s">
        <v>33</v>
      </c>
      <c r="E85" s="1" t="s">
        <v>70</v>
      </c>
      <c r="F85" s="1" t="s">
        <v>20</v>
      </c>
      <c r="G85" s="1" t="s">
        <v>27</v>
      </c>
      <c r="H85" s="1" t="s">
        <v>28</v>
      </c>
      <c r="I85" s="1" t="s">
        <v>29</v>
      </c>
      <c r="J85" s="1" t="s">
        <v>199</v>
      </c>
      <c r="K85" s="1">
        <v>6</v>
      </c>
      <c r="L85" s="1">
        <v>355.96</v>
      </c>
      <c r="M85" s="1">
        <v>0</v>
      </c>
      <c r="N85" s="1">
        <v>2135.7600000000002</v>
      </c>
      <c r="O85" s="1">
        <v>636.99</v>
      </c>
    </row>
    <row r="86" spans="1:15" x14ac:dyDescent="0.3">
      <c r="A86" s="1" t="s">
        <v>30</v>
      </c>
      <c r="B86" s="1" t="s">
        <v>31</v>
      </c>
      <c r="C86" s="1" t="s">
        <v>200</v>
      </c>
      <c r="D86" s="1" t="s">
        <v>49</v>
      </c>
      <c r="E86" s="1" t="s">
        <v>44</v>
      </c>
      <c r="F86" s="1" t="s">
        <v>20</v>
      </c>
      <c r="G86" s="1" t="s">
        <v>27</v>
      </c>
      <c r="H86" s="1" t="s">
        <v>51</v>
      </c>
      <c r="I86" s="1" t="s">
        <v>112</v>
      </c>
      <c r="J86" s="1" t="s">
        <v>201</v>
      </c>
      <c r="K86" s="1">
        <v>5</v>
      </c>
      <c r="L86" s="1">
        <v>444.48</v>
      </c>
      <c r="M86" s="1">
        <v>0.06</v>
      </c>
      <c r="N86" s="1">
        <v>2089.06</v>
      </c>
      <c r="O86" s="1">
        <v>306.97000000000003</v>
      </c>
    </row>
    <row r="87" spans="1:15" x14ac:dyDescent="0.3">
      <c r="A87" s="1" t="s">
        <v>41</v>
      </c>
      <c r="B87" s="1" t="s">
        <v>42</v>
      </c>
      <c r="C87" s="1" t="s">
        <v>202</v>
      </c>
      <c r="D87" s="1" t="s">
        <v>136</v>
      </c>
      <c r="E87" s="1" t="s">
        <v>26</v>
      </c>
      <c r="F87" s="1" t="s">
        <v>34</v>
      </c>
      <c r="G87" s="1" t="s">
        <v>56</v>
      </c>
      <c r="H87" s="1" t="s">
        <v>22</v>
      </c>
      <c r="I87" s="1" t="s">
        <v>35</v>
      </c>
      <c r="J87" s="1" t="s">
        <v>203</v>
      </c>
      <c r="K87" s="1">
        <v>8</v>
      </c>
      <c r="L87" s="1">
        <v>459.91</v>
      </c>
      <c r="M87" s="1">
        <v>0.28999999999999998</v>
      </c>
      <c r="N87" s="1">
        <v>2612.29</v>
      </c>
      <c r="O87" s="1">
        <v>747.09</v>
      </c>
    </row>
    <row r="88" spans="1:15" x14ac:dyDescent="0.3">
      <c r="A88" s="1" t="s">
        <v>109</v>
      </c>
      <c r="B88" s="1" t="s">
        <v>110</v>
      </c>
      <c r="C88" s="1" t="s">
        <v>204</v>
      </c>
      <c r="D88" s="1" t="s">
        <v>49</v>
      </c>
      <c r="E88" s="1" t="s">
        <v>44</v>
      </c>
      <c r="F88" s="1" t="s">
        <v>34</v>
      </c>
      <c r="G88" s="1" t="s">
        <v>56</v>
      </c>
      <c r="H88" s="1" t="s">
        <v>22</v>
      </c>
      <c r="I88" s="1" t="s">
        <v>116</v>
      </c>
      <c r="J88" s="3">
        <v>45881</v>
      </c>
      <c r="K88" s="1">
        <v>4</v>
      </c>
      <c r="L88" s="1">
        <v>321.24</v>
      </c>
      <c r="M88" s="1">
        <v>0.19</v>
      </c>
      <c r="N88" s="1">
        <v>1040.82</v>
      </c>
      <c r="O88" s="1">
        <v>162.61000000000001</v>
      </c>
    </row>
    <row r="89" spans="1:15" x14ac:dyDescent="0.3">
      <c r="A89" s="1" t="s">
        <v>41</v>
      </c>
      <c r="B89" s="1" t="s">
        <v>42</v>
      </c>
      <c r="C89" s="1" t="s">
        <v>205</v>
      </c>
      <c r="D89" s="1" t="s">
        <v>83</v>
      </c>
      <c r="E89" s="1" t="s">
        <v>44</v>
      </c>
      <c r="F89" s="1" t="s">
        <v>20</v>
      </c>
      <c r="G89" s="1" t="s">
        <v>21</v>
      </c>
      <c r="H89" s="1" t="s">
        <v>22</v>
      </c>
      <c r="I89" s="1" t="s">
        <v>148</v>
      </c>
      <c r="J89" s="3">
        <v>45695</v>
      </c>
      <c r="K89" s="1">
        <v>7</v>
      </c>
      <c r="L89" s="1">
        <v>358.49</v>
      </c>
      <c r="M89" s="1">
        <v>0.19</v>
      </c>
      <c r="N89" s="1">
        <v>2032.64</v>
      </c>
      <c r="O89" s="1">
        <v>428.22</v>
      </c>
    </row>
    <row r="90" spans="1:15" x14ac:dyDescent="0.3">
      <c r="A90" s="1" t="s">
        <v>53</v>
      </c>
      <c r="B90" s="1" t="s">
        <v>54</v>
      </c>
      <c r="C90" s="1" t="s">
        <v>206</v>
      </c>
      <c r="D90" s="1" t="s">
        <v>69</v>
      </c>
      <c r="E90" s="1" t="s">
        <v>44</v>
      </c>
      <c r="F90" s="1" t="s">
        <v>34</v>
      </c>
      <c r="G90" s="1" t="s">
        <v>21</v>
      </c>
      <c r="H90" s="1" t="s">
        <v>22</v>
      </c>
      <c r="I90" s="1" t="s">
        <v>35</v>
      </c>
      <c r="J90" s="3">
        <v>45841</v>
      </c>
      <c r="K90" s="1">
        <v>3</v>
      </c>
      <c r="L90" s="1">
        <v>20.76</v>
      </c>
      <c r="M90" s="1">
        <v>0.09</v>
      </c>
      <c r="N90" s="1">
        <v>56.67</v>
      </c>
      <c r="O90" s="1">
        <v>11.7</v>
      </c>
    </row>
    <row r="91" spans="1:15" x14ac:dyDescent="0.3">
      <c r="A91" s="1" t="s">
        <v>53</v>
      </c>
      <c r="B91" s="1" t="s">
        <v>54</v>
      </c>
      <c r="C91" s="1" t="s">
        <v>207</v>
      </c>
      <c r="D91" s="1" t="s">
        <v>38</v>
      </c>
      <c r="E91" s="1" t="s">
        <v>70</v>
      </c>
      <c r="F91" s="1" t="s">
        <v>20</v>
      </c>
      <c r="G91" s="1" t="s">
        <v>56</v>
      </c>
      <c r="H91" s="1" t="s">
        <v>22</v>
      </c>
      <c r="I91" s="1" t="s">
        <v>148</v>
      </c>
      <c r="J91" s="3">
        <v>45992</v>
      </c>
      <c r="K91" s="1">
        <v>3</v>
      </c>
      <c r="L91" s="1">
        <v>232.01</v>
      </c>
      <c r="M91" s="1">
        <v>0.06</v>
      </c>
      <c r="N91" s="1">
        <v>654.27</v>
      </c>
      <c r="O91" s="1">
        <v>84.47</v>
      </c>
    </row>
    <row r="92" spans="1:15" x14ac:dyDescent="0.3">
      <c r="A92" s="1" t="s">
        <v>79</v>
      </c>
      <c r="B92" s="1" t="s">
        <v>80</v>
      </c>
      <c r="C92" s="1" t="s">
        <v>208</v>
      </c>
      <c r="D92" s="1" t="s">
        <v>61</v>
      </c>
      <c r="E92" s="1" t="s">
        <v>70</v>
      </c>
      <c r="F92" s="1" t="s">
        <v>20</v>
      </c>
      <c r="G92" s="1" t="s">
        <v>50</v>
      </c>
      <c r="H92" s="1" t="s">
        <v>51</v>
      </c>
      <c r="I92" s="1" t="s">
        <v>112</v>
      </c>
      <c r="J92" s="3">
        <v>45718</v>
      </c>
      <c r="K92" s="1">
        <v>2</v>
      </c>
      <c r="L92" s="1">
        <v>403.62</v>
      </c>
      <c r="M92" s="1">
        <v>0.03</v>
      </c>
      <c r="N92" s="1">
        <v>783.02</v>
      </c>
      <c r="O92" s="1">
        <v>117.3</v>
      </c>
    </row>
    <row r="93" spans="1:15" x14ac:dyDescent="0.3">
      <c r="A93" s="1" t="s">
        <v>41</v>
      </c>
      <c r="B93" s="1" t="s">
        <v>42</v>
      </c>
      <c r="C93" s="1" t="s">
        <v>209</v>
      </c>
      <c r="D93" s="1" t="s">
        <v>18</v>
      </c>
      <c r="E93" s="1" t="s">
        <v>26</v>
      </c>
      <c r="F93" s="1" t="s">
        <v>20</v>
      </c>
      <c r="G93" s="1" t="s">
        <v>27</v>
      </c>
      <c r="H93" s="1" t="s">
        <v>22</v>
      </c>
      <c r="I93" s="1" t="s">
        <v>116</v>
      </c>
      <c r="J93" s="1" t="s">
        <v>210</v>
      </c>
      <c r="K93" s="1">
        <v>10</v>
      </c>
      <c r="L93" s="1">
        <v>60.24</v>
      </c>
      <c r="M93" s="1">
        <v>0.3</v>
      </c>
      <c r="N93" s="1">
        <v>421.68</v>
      </c>
      <c r="O93" s="1">
        <v>111.83</v>
      </c>
    </row>
    <row r="94" spans="1:15" x14ac:dyDescent="0.3">
      <c r="A94" s="1" t="s">
        <v>58</v>
      </c>
      <c r="B94" s="1" t="s">
        <v>59</v>
      </c>
      <c r="C94" s="1" t="s">
        <v>211</v>
      </c>
      <c r="D94" s="1" t="s">
        <v>38</v>
      </c>
      <c r="E94" s="1" t="s">
        <v>19</v>
      </c>
      <c r="F94" s="1" t="s">
        <v>20</v>
      </c>
      <c r="G94" s="1" t="s">
        <v>21</v>
      </c>
      <c r="H94" s="1" t="s">
        <v>28</v>
      </c>
      <c r="I94" s="1" t="s">
        <v>29</v>
      </c>
      <c r="J94" s="1" t="s">
        <v>194</v>
      </c>
      <c r="K94" s="1">
        <v>1</v>
      </c>
      <c r="L94" s="1">
        <v>459.81</v>
      </c>
      <c r="M94" s="1">
        <v>0.06</v>
      </c>
      <c r="N94" s="1">
        <v>432.22</v>
      </c>
      <c r="O94" s="1">
        <v>88.33</v>
      </c>
    </row>
    <row r="95" spans="1:15" x14ac:dyDescent="0.3">
      <c r="A95" s="1" t="s">
        <v>58</v>
      </c>
      <c r="B95" s="1" t="s">
        <v>59</v>
      </c>
      <c r="C95" s="1" t="s">
        <v>212</v>
      </c>
      <c r="D95" s="1" t="s">
        <v>61</v>
      </c>
      <c r="E95" s="1" t="s">
        <v>19</v>
      </c>
      <c r="F95" s="1" t="s">
        <v>34</v>
      </c>
      <c r="G95" s="1" t="s">
        <v>50</v>
      </c>
      <c r="H95" s="1" t="s">
        <v>22</v>
      </c>
      <c r="I95" s="1" t="s">
        <v>116</v>
      </c>
      <c r="J95" s="1" t="s">
        <v>213</v>
      </c>
      <c r="K95" s="1">
        <v>3</v>
      </c>
      <c r="L95" s="1">
        <v>78.42</v>
      </c>
      <c r="M95" s="1">
        <v>0.13</v>
      </c>
      <c r="N95" s="1">
        <v>204.68</v>
      </c>
      <c r="O95" s="1">
        <v>44.46</v>
      </c>
    </row>
    <row r="96" spans="1:15" x14ac:dyDescent="0.3">
      <c r="A96" s="1" t="s">
        <v>90</v>
      </c>
      <c r="B96" s="1" t="s">
        <v>91</v>
      </c>
      <c r="C96" s="1" t="s">
        <v>214</v>
      </c>
      <c r="D96" s="1" t="s">
        <v>33</v>
      </c>
      <c r="E96" s="1" t="s">
        <v>26</v>
      </c>
      <c r="F96" s="1" t="s">
        <v>34</v>
      </c>
      <c r="G96" s="1" t="s">
        <v>50</v>
      </c>
      <c r="H96" s="1" t="s">
        <v>22</v>
      </c>
      <c r="I96" s="1" t="s">
        <v>148</v>
      </c>
      <c r="J96" s="1" t="s">
        <v>215</v>
      </c>
      <c r="K96" s="1">
        <v>7</v>
      </c>
      <c r="L96" s="1">
        <v>387.66</v>
      </c>
      <c r="M96" s="1">
        <v>0.28000000000000003</v>
      </c>
      <c r="N96" s="1">
        <v>1953.81</v>
      </c>
      <c r="O96" s="1">
        <v>408.28</v>
      </c>
    </row>
    <row r="97" spans="1:15" x14ac:dyDescent="0.3">
      <c r="A97" s="1" t="s">
        <v>53</v>
      </c>
      <c r="B97" s="1" t="s">
        <v>54</v>
      </c>
      <c r="C97" s="1" t="s">
        <v>216</v>
      </c>
      <c r="D97" s="1" t="s">
        <v>33</v>
      </c>
      <c r="E97" s="1" t="s">
        <v>70</v>
      </c>
      <c r="F97" s="1" t="s">
        <v>34</v>
      </c>
      <c r="G97" s="1" t="s">
        <v>21</v>
      </c>
      <c r="H97" s="1" t="s">
        <v>51</v>
      </c>
      <c r="I97" s="1" t="s">
        <v>52</v>
      </c>
      <c r="J97" s="1" t="s">
        <v>217</v>
      </c>
      <c r="K97" s="1">
        <v>1</v>
      </c>
      <c r="L97" s="1">
        <v>192.53</v>
      </c>
      <c r="M97" s="1">
        <v>0.28999999999999998</v>
      </c>
      <c r="N97" s="1">
        <v>136.69999999999999</v>
      </c>
      <c r="O97" s="1">
        <v>35.43</v>
      </c>
    </row>
    <row r="98" spans="1:15" x14ac:dyDescent="0.3">
      <c r="A98" s="1" t="s">
        <v>30</v>
      </c>
      <c r="B98" s="1" t="s">
        <v>31</v>
      </c>
      <c r="C98" s="1" t="s">
        <v>218</v>
      </c>
      <c r="D98" s="1" t="s">
        <v>61</v>
      </c>
      <c r="E98" s="1" t="s">
        <v>19</v>
      </c>
      <c r="F98" s="1" t="s">
        <v>20</v>
      </c>
      <c r="G98" s="1" t="s">
        <v>21</v>
      </c>
      <c r="H98" s="1" t="s">
        <v>39</v>
      </c>
      <c r="I98" s="1" t="s">
        <v>118</v>
      </c>
      <c r="J98" s="1" t="s">
        <v>146</v>
      </c>
      <c r="K98" s="1">
        <v>8</v>
      </c>
      <c r="L98" s="1">
        <v>177.48</v>
      </c>
      <c r="M98" s="1">
        <v>0.01</v>
      </c>
      <c r="N98" s="1">
        <v>1405.64</v>
      </c>
      <c r="O98" s="1">
        <v>291.55</v>
      </c>
    </row>
    <row r="99" spans="1:15" x14ac:dyDescent="0.3">
      <c r="A99" s="1" t="s">
        <v>41</v>
      </c>
      <c r="B99" s="1" t="s">
        <v>42</v>
      </c>
      <c r="C99" s="1" t="s">
        <v>219</v>
      </c>
      <c r="D99" s="1" t="s">
        <v>107</v>
      </c>
      <c r="E99" s="1" t="s">
        <v>26</v>
      </c>
      <c r="F99" s="1" t="s">
        <v>20</v>
      </c>
      <c r="G99" s="1" t="s">
        <v>27</v>
      </c>
      <c r="H99" s="1" t="s">
        <v>28</v>
      </c>
      <c r="I99" s="1" t="s">
        <v>45</v>
      </c>
      <c r="J99" s="3">
        <v>45717</v>
      </c>
      <c r="K99" s="1">
        <v>10</v>
      </c>
      <c r="L99" s="1">
        <v>206.1</v>
      </c>
      <c r="M99" s="1">
        <v>0.1</v>
      </c>
      <c r="N99" s="1">
        <v>1854.9</v>
      </c>
      <c r="O99" s="1">
        <v>368.28</v>
      </c>
    </row>
    <row r="100" spans="1:15" x14ac:dyDescent="0.3">
      <c r="A100" s="1" t="s">
        <v>79</v>
      </c>
      <c r="B100" s="1" t="s">
        <v>80</v>
      </c>
      <c r="C100" s="1" t="s">
        <v>220</v>
      </c>
      <c r="D100" s="1" t="s">
        <v>18</v>
      </c>
      <c r="E100" s="1" t="s">
        <v>70</v>
      </c>
      <c r="F100" s="1" t="s">
        <v>34</v>
      </c>
      <c r="G100" s="1" t="s">
        <v>50</v>
      </c>
      <c r="H100" s="1" t="s">
        <v>39</v>
      </c>
      <c r="I100" s="1" t="s">
        <v>86</v>
      </c>
      <c r="J100" s="1" t="s">
        <v>221</v>
      </c>
      <c r="K100" s="1">
        <v>10</v>
      </c>
      <c r="L100" s="1">
        <v>229.61</v>
      </c>
      <c r="M100" s="1">
        <v>0.2</v>
      </c>
      <c r="N100" s="1">
        <v>1836.88</v>
      </c>
      <c r="O100" s="1">
        <v>417.41</v>
      </c>
    </row>
    <row r="101" spans="1:15" x14ac:dyDescent="0.3">
      <c r="A101" s="1" t="s">
        <v>109</v>
      </c>
      <c r="B101" s="1" t="s">
        <v>110</v>
      </c>
      <c r="C101" s="1" t="s">
        <v>222</v>
      </c>
      <c r="D101" s="1" t="s">
        <v>38</v>
      </c>
      <c r="E101" s="1" t="s">
        <v>26</v>
      </c>
      <c r="F101" s="1" t="s">
        <v>34</v>
      </c>
      <c r="G101" s="1" t="s">
        <v>27</v>
      </c>
      <c r="H101" s="1" t="s">
        <v>51</v>
      </c>
      <c r="I101" s="1" t="s">
        <v>112</v>
      </c>
      <c r="J101" s="3">
        <v>45907</v>
      </c>
      <c r="K101" s="1">
        <v>4</v>
      </c>
      <c r="L101" s="1">
        <v>194.51</v>
      </c>
      <c r="M101" s="1">
        <v>0.28000000000000003</v>
      </c>
      <c r="N101" s="1">
        <v>560.19000000000005</v>
      </c>
      <c r="O101" s="1">
        <v>152.04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E6D98-8F37-40BB-A3C6-BF23B8A94F78}">
  <dimension ref="A1:V101"/>
  <sheetViews>
    <sheetView workbookViewId="0">
      <selection sqref="A1:V101"/>
    </sheetView>
  </sheetViews>
  <sheetFormatPr defaultRowHeight="14.4" x14ac:dyDescent="0.3"/>
  <cols>
    <col min="1" max="1" width="10.44140625" bestFit="1" customWidth="1"/>
    <col min="2" max="2" width="16" bestFit="1" customWidth="1"/>
    <col min="3" max="3" width="14.109375" bestFit="1" customWidth="1"/>
    <col min="4" max="4" width="17.44140625" bestFit="1" customWidth="1"/>
    <col min="5" max="5" width="12.6640625" bestFit="1" customWidth="1"/>
    <col min="6" max="6" width="9.33203125" bestFit="1" customWidth="1"/>
    <col min="7" max="7" width="9" bestFit="1" customWidth="1"/>
    <col min="8" max="8" width="18.5546875" bestFit="1" customWidth="1"/>
    <col min="9" max="9" width="16" bestFit="1" customWidth="1"/>
    <col min="10" max="10" width="10.5546875" bestFit="1" customWidth="1"/>
    <col min="11" max="11" width="11.88671875" bestFit="1" customWidth="1"/>
    <col min="12" max="12" width="10.5546875" bestFit="1" customWidth="1"/>
    <col min="13" max="13" width="18.5546875" bestFit="1" customWidth="1"/>
    <col min="14" max="14" width="7.88671875" bestFit="1" customWidth="1"/>
    <col min="15" max="15" width="12.88671875" bestFit="1" customWidth="1"/>
    <col min="16" max="16" width="6.88671875" bestFit="1" customWidth="1"/>
    <col min="17" max="17" width="9" bestFit="1" customWidth="1"/>
    <col min="18" max="18" width="14.44140625" bestFit="1" customWidth="1"/>
    <col min="19" max="19" width="9.6640625" bestFit="1" customWidth="1"/>
    <col min="20" max="20" width="16.5546875" bestFit="1" customWidth="1"/>
    <col min="21" max="21" width="13.88671875" bestFit="1" customWidth="1"/>
    <col min="22" max="22" width="11.88671875" bestFit="1" customWidth="1"/>
  </cols>
  <sheetData>
    <row r="1" spans="1:22" x14ac:dyDescent="0.3">
      <c r="A1" t="s">
        <v>0</v>
      </c>
      <c r="B1" t="s">
        <v>1</v>
      </c>
      <c r="C1" t="s">
        <v>2</v>
      </c>
      <c r="D1" t="s">
        <v>3</v>
      </c>
      <c r="E1" t="s">
        <v>4</v>
      </c>
      <c r="F1" t="s">
        <v>5</v>
      </c>
      <c r="G1" t="s">
        <v>6</v>
      </c>
      <c r="H1" t="s">
        <v>7</v>
      </c>
      <c r="I1" t="s">
        <v>8</v>
      </c>
      <c r="J1" t="s">
        <v>10</v>
      </c>
      <c r="K1" t="s">
        <v>11</v>
      </c>
      <c r="L1" t="s">
        <v>12</v>
      </c>
      <c r="M1" t="s">
        <v>13</v>
      </c>
      <c r="N1" t="s">
        <v>14</v>
      </c>
      <c r="O1" t="s">
        <v>9</v>
      </c>
      <c r="P1" t="s">
        <v>223</v>
      </c>
      <c r="Q1" t="s">
        <v>224</v>
      </c>
      <c r="R1" t="s">
        <v>225</v>
      </c>
      <c r="S1" t="s">
        <v>226</v>
      </c>
      <c r="T1" t="s">
        <v>227</v>
      </c>
      <c r="U1" t="s">
        <v>228</v>
      </c>
      <c r="V1" t="s">
        <v>229</v>
      </c>
    </row>
    <row r="2" spans="1:22" x14ac:dyDescent="0.3">
      <c r="A2" t="s">
        <v>15</v>
      </c>
      <c r="B2" t="s">
        <v>16</v>
      </c>
      <c r="C2" t="s">
        <v>17</v>
      </c>
      <c r="D2" t="s">
        <v>18</v>
      </c>
      <c r="E2" t="s">
        <v>19</v>
      </c>
      <c r="F2" t="s">
        <v>20</v>
      </c>
      <c r="G2" t="s">
        <v>21</v>
      </c>
      <c r="H2" t="s">
        <v>22</v>
      </c>
      <c r="I2" t="s">
        <v>23</v>
      </c>
      <c r="J2">
        <v>9</v>
      </c>
      <c r="K2">
        <v>435.39</v>
      </c>
      <c r="L2">
        <v>0.03</v>
      </c>
      <c r="M2">
        <v>3800.95</v>
      </c>
      <c r="N2">
        <v>755.43</v>
      </c>
      <c r="O2" s="2">
        <v>45946</v>
      </c>
      <c r="P2">
        <v>2025</v>
      </c>
      <c r="Q2">
        <v>10</v>
      </c>
      <c r="R2" t="s">
        <v>230</v>
      </c>
      <c r="S2">
        <v>4</v>
      </c>
      <c r="T2">
        <v>3</v>
      </c>
      <c r="U2">
        <v>4</v>
      </c>
      <c r="V2" t="s">
        <v>231</v>
      </c>
    </row>
    <row r="3" spans="1:22" hidden="1" x14ac:dyDescent="0.3">
      <c r="A3" t="s">
        <v>15</v>
      </c>
      <c r="B3" t="s">
        <v>16</v>
      </c>
      <c r="C3" t="s">
        <v>25</v>
      </c>
      <c r="D3" t="s">
        <v>18</v>
      </c>
      <c r="E3" t="s">
        <v>26</v>
      </c>
      <c r="F3" t="s">
        <v>20</v>
      </c>
      <c r="G3" t="s">
        <v>27</v>
      </c>
      <c r="H3" t="s">
        <v>28</v>
      </c>
      <c r="I3" t="s">
        <v>29</v>
      </c>
      <c r="J3">
        <v>5</v>
      </c>
      <c r="K3">
        <v>230.61</v>
      </c>
      <c r="L3">
        <v>0.12</v>
      </c>
      <c r="M3">
        <v>1014.68</v>
      </c>
      <c r="N3">
        <v>164.5</v>
      </c>
      <c r="O3" s="2">
        <v>45877</v>
      </c>
      <c r="P3">
        <v>2025</v>
      </c>
      <c r="Q3">
        <v>8</v>
      </c>
      <c r="R3" t="s">
        <v>232</v>
      </c>
      <c r="S3">
        <v>3</v>
      </c>
      <c r="T3">
        <v>2</v>
      </c>
      <c r="U3">
        <v>5</v>
      </c>
      <c r="V3" t="s">
        <v>233</v>
      </c>
    </row>
    <row r="4" spans="1:22" x14ac:dyDescent="0.3">
      <c r="A4" t="s">
        <v>30</v>
      </c>
      <c r="B4" t="s">
        <v>31</v>
      </c>
      <c r="C4" t="s">
        <v>32</v>
      </c>
      <c r="D4" t="s">
        <v>33</v>
      </c>
      <c r="E4" t="s">
        <v>19</v>
      </c>
      <c r="F4" t="s">
        <v>34</v>
      </c>
      <c r="G4" t="s">
        <v>21</v>
      </c>
      <c r="H4" t="s">
        <v>22</v>
      </c>
      <c r="I4" t="s">
        <v>35</v>
      </c>
      <c r="J4">
        <v>10</v>
      </c>
      <c r="K4">
        <v>266.47000000000003</v>
      </c>
      <c r="L4">
        <v>0.06</v>
      </c>
      <c r="M4">
        <v>2504.8200000000002</v>
      </c>
      <c r="N4">
        <v>701.1</v>
      </c>
      <c r="O4" s="2">
        <v>45950</v>
      </c>
      <c r="P4">
        <v>2025</v>
      </c>
      <c r="Q4">
        <v>10</v>
      </c>
      <c r="R4" t="s">
        <v>230</v>
      </c>
      <c r="S4">
        <v>4</v>
      </c>
      <c r="T4">
        <v>4</v>
      </c>
      <c r="U4">
        <v>1</v>
      </c>
      <c r="V4" t="s">
        <v>234</v>
      </c>
    </row>
    <row r="5" spans="1:22" x14ac:dyDescent="0.3">
      <c r="A5" t="s">
        <v>30</v>
      </c>
      <c r="B5" t="s">
        <v>31</v>
      </c>
      <c r="C5" t="s">
        <v>37</v>
      </c>
      <c r="D5" t="s">
        <v>38</v>
      </c>
      <c r="E5" t="s">
        <v>19</v>
      </c>
      <c r="F5" t="s">
        <v>20</v>
      </c>
      <c r="G5" t="s">
        <v>21</v>
      </c>
      <c r="H5" t="s">
        <v>39</v>
      </c>
      <c r="I5" t="s">
        <v>40</v>
      </c>
      <c r="J5">
        <v>5</v>
      </c>
      <c r="K5">
        <v>468.31</v>
      </c>
      <c r="L5">
        <v>7.0000000000000007E-2</v>
      </c>
      <c r="M5">
        <v>2177.64</v>
      </c>
      <c r="N5">
        <v>341.03</v>
      </c>
      <c r="O5" s="2">
        <v>45785</v>
      </c>
      <c r="P5">
        <v>2025</v>
      </c>
      <c r="Q5">
        <v>5</v>
      </c>
      <c r="R5" t="s">
        <v>235</v>
      </c>
      <c r="S5">
        <v>2</v>
      </c>
      <c r="T5">
        <v>2</v>
      </c>
      <c r="U5">
        <v>4</v>
      </c>
      <c r="V5" t="s">
        <v>231</v>
      </c>
    </row>
    <row r="6" spans="1:22" x14ac:dyDescent="0.3">
      <c r="A6" t="s">
        <v>41</v>
      </c>
      <c r="B6" t="s">
        <v>42</v>
      </c>
      <c r="C6" t="s">
        <v>43</v>
      </c>
      <c r="D6" t="s">
        <v>33</v>
      </c>
      <c r="E6" t="s">
        <v>44</v>
      </c>
      <c r="F6" t="s">
        <v>20</v>
      </c>
      <c r="G6" t="s">
        <v>21</v>
      </c>
      <c r="H6" t="s">
        <v>28</v>
      </c>
      <c r="I6" t="s">
        <v>45</v>
      </c>
      <c r="J6">
        <v>7</v>
      </c>
      <c r="K6">
        <v>157.53</v>
      </c>
      <c r="L6">
        <v>0.18</v>
      </c>
      <c r="M6">
        <v>904.22</v>
      </c>
      <c r="N6">
        <v>143.72</v>
      </c>
      <c r="O6" s="2">
        <v>45876</v>
      </c>
      <c r="P6">
        <v>2025</v>
      </c>
      <c r="Q6">
        <v>8</v>
      </c>
      <c r="R6" t="s">
        <v>232</v>
      </c>
      <c r="S6">
        <v>3</v>
      </c>
      <c r="T6">
        <v>2</v>
      </c>
      <c r="U6">
        <v>4</v>
      </c>
      <c r="V6" t="s">
        <v>231</v>
      </c>
    </row>
    <row r="7" spans="1:22" hidden="1" x14ac:dyDescent="0.3">
      <c r="A7" t="s">
        <v>46</v>
      </c>
      <c r="B7" t="s">
        <v>47</v>
      </c>
      <c r="C7" t="s">
        <v>48</v>
      </c>
      <c r="D7" t="s">
        <v>49</v>
      </c>
      <c r="E7" t="s">
        <v>26</v>
      </c>
      <c r="F7" t="s">
        <v>20</v>
      </c>
      <c r="G7" t="s">
        <v>50</v>
      </c>
      <c r="H7" t="s">
        <v>51</v>
      </c>
      <c r="I7" t="s">
        <v>52</v>
      </c>
      <c r="J7">
        <v>6</v>
      </c>
      <c r="K7">
        <v>13.16</v>
      </c>
      <c r="L7">
        <v>0.24</v>
      </c>
      <c r="M7">
        <v>60.01</v>
      </c>
      <c r="N7">
        <v>16.48</v>
      </c>
      <c r="O7" s="2">
        <v>45725</v>
      </c>
      <c r="P7">
        <v>2025</v>
      </c>
      <c r="Q7">
        <v>3</v>
      </c>
      <c r="R7" t="s">
        <v>236</v>
      </c>
      <c r="S7">
        <v>1</v>
      </c>
      <c r="T7">
        <v>3</v>
      </c>
      <c r="U7">
        <v>0</v>
      </c>
      <c r="V7" t="s">
        <v>237</v>
      </c>
    </row>
    <row r="8" spans="1:22" hidden="1" x14ac:dyDescent="0.3">
      <c r="A8" t="s">
        <v>53</v>
      </c>
      <c r="B8" t="s">
        <v>54</v>
      </c>
      <c r="C8" t="s">
        <v>55</v>
      </c>
      <c r="D8" t="s">
        <v>18</v>
      </c>
      <c r="E8" t="s">
        <v>44</v>
      </c>
      <c r="F8" t="s">
        <v>20</v>
      </c>
      <c r="G8" t="s">
        <v>56</v>
      </c>
      <c r="H8" t="s">
        <v>51</v>
      </c>
      <c r="I8" t="s">
        <v>57</v>
      </c>
      <c r="J8">
        <v>2</v>
      </c>
      <c r="K8">
        <v>182.16</v>
      </c>
      <c r="L8">
        <v>0.11</v>
      </c>
      <c r="M8">
        <v>324.24</v>
      </c>
      <c r="N8">
        <v>73.989999999999995</v>
      </c>
      <c r="O8" s="2">
        <v>45661</v>
      </c>
      <c r="P8">
        <v>2025</v>
      </c>
      <c r="Q8">
        <v>1</v>
      </c>
      <c r="R8" t="s">
        <v>238</v>
      </c>
      <c r="S8">
        <v>1</v>
      </c>
      <c r="T8">
        <v>1</v>
      </c>
      <c r="U8">
        <v>6</v>
      </c>
      <c r="V8" t="s">
        <v>239</v>
      </c>
    </row>
    <row r="9" spans="1:22" hidden="1" x14ac:dyDescent="0.3">
      <c r="A9" t="s">
        <v>58</v>
      </c>
      <c r="B9" t="s">
        <v>59</v>
      </c>
      <c r="C9" t="s">
        <v>60</v>
      </c>
      <c r="D9" t="s">
        <v>61</v>
      </c>
      <c r="E9" t="s">
        <v>44</v>
      </c>
      <c r="F9" t="s">
        <v>34</v>
      </c>
      <c r="G9" t="s">
        <v>27</v>
      </c>
      <c r="H9" t="s">
        <v>51</v>
      </c>
      <c r="I9" t="s">
        <v>52</v>
      </c>
      <c r="J9">
        <v>6</v>
      </c>
      <c r="K9">
        <v>336.11</v>
      </c>
      <c r="L9">
        <v>0.19</v>
      </c>
      <c r="M9">
        <v>1633.49</v>
      </c>
      <c r="N9">
        <v>485.5</v>
      </c>
      <c r="O9" s="2">
        <v>45820</v>
      </c>
      <c r="P9">
        <v>2025</v>
      </c>
      <c r="Q9">
        <v>6</v>
      </c>
      <c r="R9" t="s">
        <v>240</v>
      </c>
      <c r="S9">
        <v>2</v>
      </c>
      <c r="T9">
        <v>2</v>
      </c>
      <c r="U9">
        <v>4</v>
      </c>
      <c r="V9" t="s">
        <v>231</v>
      </c>
    </row>
    <row r="10" spans="1:22" x14ac:dyDescent="0.3">
      <c r="A10" t="s">
        <v>62</v>
      </c>
      <c r="B10" t="s">
        <v>63</v>
      </c>
      <c r="C10" t="s">
        <v>64</v>
      </c>
      <c r="D10" t="s">
        <v>65</v>
      </c>
      <c r="E10" t="s">
        <v>26</v>
      </c>
      <c r="F10" t="s">
        <v>34</v>
      </c>
      <c r="G10" t="s">
        <v>21</v>
      </c>
      <c r="H10" t="s">
        <v>39</v>
      </c>
      <c r="I10" t="s">
        <v>66</v>
      </c>
      <c r="J10">
        <v>6</v>
      </c>
      <c r="K10">
        <v>368.29</v>
      </c>
      <c r="L10">
        <v>0.17</v>
      </c>
      <c r="M10">
        <v>1834.08</v>
      </c>
      <c r="N10">
        <v>535.04999999999995</v>
      </c>
      <c r="O10" s="2">
        <v>45806</v>
      </c>
      <c r="P10">
        <v>2025</v>
      </c>
      <c r="Q10">
        <v>5</v>
      </c>
      <c r="R10" t="s">
        <v>235</v>
      </c>
      <c r="S10">
        <v>2</v>
      </c>
      <c r="T10">
        <v>5</v>
      </c>
      <c r="U10">
        <v>4</v>
      </c>
      <c r="V10" t="s">
        <v>231</v>
      </c>
    </row>
    <row r="11" spans="1:22" hidden="1" x14ac:dyDescent="0.3">
      <c r="A11" t="s">
        <v>41</v>
      </c>
      <c r="B11" t="s">
        <v>42</v>
      </c>
      <c r="C11" t="s">
        <v>68</v>
      </c>
      <c r="D11" t="s">
        <v>69</v>
      </c>
      <c r="E11" t="s">
        <v>70</v>
      </c>
      <c r="F11" t="s">
        <v>34</v>
      </c>
      <c r="G11" t="s">
        <v>50</v>
      </c>
      <c r="H11" t="s">
        <v>22</v>
      </c>
      <c r="I11" t="s">
        <v>23</v>
      </c>
      <c r="J11">
        <v>4</v>
      </c>
      <c r="K11">
        <v>122.6</v>
      </c>
      <c r="L11">
        <v>0.04</v>
      </c>
      <c r="M11">
        <v>470.78</v>
      </c>
      <c r="N11">
        <v>48.57</v>
      </c>
      <c r="O11" s="2">
        <v>45674</v>
      </c>
      <c r="P11">
        <v>2025</v>
      </c>
      <c r="Q11">
        <v>1</v>
      </c>
      <c r="R11" t="s">
        <v>238</v>
      </c>
      <c r="S11">
        <v>1</v>
      </c>
      <c r="T11">
        <v>3</v>
      </c>
      <c r="U11">
        <v>5</v>
      </c>
      <c r="V11" t="s">
        <v>233</v>
      </c>
    </row>
    <row r="12" spans="1:22" hidden="1" x14ac:dyDescent="0.3">
      <c r="A12" t="s">
        <v>46</v>
      </c>
      <c r="B12" t="s">
        <v>47</v>
      </c>
      <c r="C12" t="s">
        <v>72</v>
      </c>
      <c r="D12" t="s">
        <v>33</v>
      </c>
      <c r="E12" t="s">
        <v>44</v>
      </c>
      <c r="F12" t="s">
        <v>34</v>
      </c>
      <c r="G12" t="s">
        <v>27</v>
      </c>
      <c r="H12" t="s">
        <v>28</v>
      </c>
      <c r="I12" t="s">
        <v>73</v>
      </c>
      <c r="J12">
        <v>8</v>
      </c>
      <c r="K12">
        <v>32.43</v>
      </c>
      <c r="L12">
        <v>0.06</v>
      </c>
      <c r="M12">
        <v>243.87</v>
      </c>
      <c r="N12">
        <v>61.81</v>
      </c>
      <c r="O12" s="2">
        <v>45667</v>
      </c>
      <c r="P12">
        <v>2025</v>
      </c>
      <c r="Q12">
        <v>1</v>
      </c>
      <c r="R12" t="s">
        <v>238</v>
      </c>
      <c r="S12">
        <v>1</v>
      </c>
      <c r="T12">
        <v>2</v>
      </c>
      <c r="U12">
        <v>5</v>
      </c>
      <c r="V12" t="s">
        <v>233</v>
      </c>
    </row>
    <row r="13" spans="1:22" x14ac:dyDescent="0.3">
      <c r="A13" t="s">
        <v>62</v>
      </c>
      <c r="B13" t="s">
        <v>63</v>
      </c>
      <c r="C13" t="s">
        <v>74</v>
      </c>
      <c r="D13" t="s">
        <v>18</v>
      </c>
      <c r="E13" t="s">
        <v>26</v>
      </c>
      <c r="F13" t="s">
        <v>20</v>
      </c>
      <c r="G13" t="s">
        <v>21</v>
      </c>
      <c r="H13" t="s">
        <v>39</v>
      </c>
      <c r="I13" t="s">
        <v>40</v>
      </c>
      <c r="J13">
        <v>5</v>
      </c>
      <c r="K13">
        <v>216.1</v>
      </c>
      <c r="L13">
        <v>0.06</v>
      </c>
      <c r="M13">
        <v>1015.67</v>
      </c>
      <c r="N13">
        <v>186.09</v>
      </c>
      <c r="O13" s="2">
        <v>45980</v>
      </c>
      <c r="P13">
        <v>2025</v>
      </c>
      <c r="Q13">
        <v>11</v>
      </c>
      <c r="R13" t="s">
        <v>241</v>
      </c>
      <c r="S13">
        <v>4</v>
      </c>
      <c r="T13">
        <v>4</v>
      </c>
      <c r="U13">
        <v>3</v>
      </c>
      <c r="V13" t="s">
        <v>242</v>
      </c>
    </row>
    <row r="14" spans="1:22" x14ac:dyDescent="0.3">
      <c r="A14" t="s">
        <v>62</v>
      </c>
      <c r="B14" t="s">
        <v>63</v>
      </c>
      <c r="C14" t="s">
        <v>76</v>
      </c>
      <c r="D14" t="s">
        <v>38</v>
      </c>
      <c r="E14" t="s">
        <v>26</v>
      </c>
      <c r="F14" t="s">
        <v>34</v>
      </c>
      <c r="G14" t="s">
        <v>21</v>
      </c>
      <c r="H14" t="s">
        <v>51</v>
      </c>
      <c r="I14" t="s">
        <v>77</v>
      </c>
      <c r="J14">
        <v>5</v>
      </c>
      <c r="K14">
        <v>397.94</v>
      </c>
      <c r="L14">
        <v>0.1</v>
      </c>
      <c r="M14">
        <v>1790.73</v>
      </c>
      <c r="N14">
        <v>358.1</v>
      </c>
      <c r="O14" s="2">
        <v>45737</v>
      </c>
      <c r="P14">
        <v>2025</v>
      </c>
      <c r="Q14">
        <v>3</v>
      </c>
      <c r="R14" t="s">
        <v>236</v>
      </c>
      <c r="S14">
        <v>1</v>
      </c>
      <c r="T14">
        <v>4</v>
      </c>
      <c r="U14">
        <v>5</v>
      </c>
      <c r="V14" t="s">
        <v>233</v>
      </c>
    </row>
    <row r="15" spans="1:22" hidden="1" x14ac:dyDescent="0.3">
      <c r="A15" t="s">
        <v>79</v>
      </c>
      <c r="B15" t="s">
        <v>80</v>
      </c>
      <c r="C15" t="s">
        <v>81</v>
      </c>
      <c r="D15" t="s">
        <v>33</v>
      </c>
      <c r="E15" t="s">
        <v>19</v>
      </c>
      <c r="F15" t="s">
        <v>34</v>
      </c>
      <c r="G15" t="s">
        <v>27</v>
      </c>
      <c r="H15" t="s">
        <v>51</v>
      </c>
      <c r="I15" t="s">
        <v>57</v>
      </c>
      <c r="J15">
        <v>9</v>
      </c>
      <c r="K15">
        <v>172.3</v>
      </c>
      <c r="L15">
        <v>0.21</v>
      </c>
      <c r="M15">
        <v>1225.05</v>
      </c>
      <c r="N15">
        <v>219.46</v>
      </c>
      <c r="O15" s="2">
        <v>45785</v>
      </c>
      <c r="P15">
        <v>2025</v>
      </c>
      <c r="Q15">
        <v>5</v>
      </c>
      <c r="R15" t="s">
        <v>235</v>
      </c>
      <c r="S15">
        <v>2</v>
      </c>
      <c r="T15">
        <v>2</v>
      </c>
      <c r="U15">
        <v>4</v>
      </c>
      <c r="V15" t="s">
        <v>231</v>
      </c>
    </row>
    <row r="16" spans="1:22" hidden="1" x14ac:dyDescent="0.3">
      <c r="A16" t="s">
        <v>46</v>
      </c>
      <c r="B16" t="s">
        <v>47</v>
      </c>
      <c r="C16" t="s">
        <v>82</v>
      </c>
      <c r="D16" t="s">
        <v>83</v>
      </c>
      <c r="E16" t="s">
        <v>26</v>
      </c>
      <c r="F16" t="s">
        <v>20</v>
      </c>
      <c r="G16" t="s">
        <v>27</v>
      </c>
      <c r="H16" t="s">
        <v>22</v>
      </c>
      <c r="I16" t="s">
        <v>23</v>
      </c>
      <c r="J16">
        <v>5</v>
      </c>
      <c r="K16">
        <v>132.35</v>
      </c>
      <c r="L16">
        <v>0.16</v>
      </c>
      <c r="M16">
        <v>555.87</v>
      </c>
      <c r="N16">
        <v>68.84</v>
      </c>
      <c r="O16" s="2">
        <v>45662</v>
      </c>
      <c r="P16">
        <v>2025</v>
      </c>
      <c r="Q16">
        <v>1</v>
      </c>
      <c r="R16" t="s">
        <v>238</v>
      </c>
      <c r="S16">
        <v>1</v>
      </c>
      <c r="T16">
        <v>2</v>
      </c>
      <c r="U16">
        <v>0</v>
      </c>
      <c r="V16" t="s">
        <v>237</v>
      </c>
    </row>
    <row r="17" spans="1:22" x14ac:dyDescent="0.3">
      <c r="A17" t="s">
        <v>46</v>
      </c>
      <c r="B17" t="s">
        <v>47</v>
      </c>
      <c r="C17" t="s">
        <v>84</v>
      </c>
      <c r="D17" t="s">
        <v>61</v>
      </c>
      <c r="E17" t="s">
        <v>70</v>
      </c>
      <c r="F17" t="s">
        <v>34</v>
      </c>
      <c r="G17" t="s">
        <v>21</v>
      </c>
      <c r="H17" t="s">
        <v>39</v>
      </c>
      <c r="I17" t="s">
        <v>66</v>
      </c>
      <c r="J17">
        <v>8</v>
      </c>
      <c r="K17">
        <v>351.93</v>
      </c>
      <c r="L17">
        <v>0</v>
      </c>
      <c r="M17">
        <v>2815.44</v>
      </c>
      <c r="N17">
        <v>715.77</v>
      </c>
      <c r="O17" s="2">
        <v>45942</v>
      </c>
      <c r="P17">
        <v>2025</v>
      </c>
      <c r="Q17">
        <v>10</v>
      </c>
      <c r="R17" t="s">
        <v>230</v>
      </c>
      <c r="S17">
        <v>4</v>
      </c>
      <c r="T17">
        <v>3</v>
      </c>
      <c r="U17">
        <v>0</v>
      </c>
      <c r="V17" t="s">
        <v>237</v>
      </c>
    </row>
    <row r="18" spans="1:22" hidden="1" x14ac:dyDescent="0.3">
      <c r="A18" t="s">
        <v>30</v>
      </c>
      <c r="B18" t="s">
        <v>31</v>
      </c>
      <c r="C18" t="s">
        <v>85</v>
      </c>
      <c r="D18" t="s">
        <v>61</v>
      </c>
      <c r="E18" t="s">
        <v>44</v>
      </c>
      <c r="F18" t="s">
        <v>20</v>
      </c>
      <c r="G18" t="s">
        <v>50</v>
      </c>
      <c r="H18" t="s">
        <v>39</v>
      </c>
      <c r="I18" t="s">
        <v>86</v>
      </c>
      <c r="J18">
        <v>7</v>
      </c>
      <c r="K18">
        <v>62.71</v>
      </c>
      <c r="L18">
        <v>0.03</v>
      </c>
      <c r="M18">
        <v>425.8</v>
      </c>
      <c r="N18">
        <v>119.37</v>
      </c>
      <c r="O18" s="2">
        <v>45753</v>
      </c>
      <c r="P18">
        <v>2025</v>
      </c>
      <c r="Q18">
        <v>4</v>
      </c>
      <c r="R18" t="s">
        <v>243</v>
      </c>
      <c r="S18">
        <v>2</v>
      </c>
      <c r="T18">
        <v>2</v>
      </c>
      <c r="U18">
        <v>0</v>
      </c>
      <c r="V18" t="s">
        <v>237</v>
      </c>
    </row>
    <row r="19" spans="1:22" hidden="1" x14ac:dyDescent="0.3">
      <c r="A19" t="s">
        <v>53</v>
      </c>
      <c r="B19" t="s">
        <v>54</v>
      </c>
      <c r="C19" t="s">
        <v>87</v>
      </c>
      <c r="D19" t="s">
        <v>49</v>
      </c>
      <c r="E19" t="s">
        <v>19</v>
      </c>
      <c r="F19" t="s">
        <v>34</v>
      </c>
      <c r="G19" t="s">
        <v>56</v>
      </c>
      <c r="H19" t="s">
        <v>28</v>
      </c>
      <c r="I19" t="s">
        <v>45</v>
      </c>
      <c r="J19">
        <v>8</v>
      </c>
      <c r="K19">
        <v>318.63</v>
      </c>
      <c r="L19">
        <v>0.23</v>
      </c>
      <c r="M19">
        <v>1962.76</v>
      </c>
      <c r="N19">
        <v>274.44</v>
      </c>
      <c r="O19" s="2">
        <v>45840</v>
      </c>
      <c r="P19">
        <v>2025</v>
      </c>
      <c r="Q19">
        <v>7</v>
      </c>
      <c r="R19" t="s">
        <v>244</v>
      </c>
      <c r="S19">
        <v>3</v>
      </c>
      <c r="T19">
        <v>1</v>
      </c>
      <c r="U19">
        <v>3</v>
      </c>
      <c r="V19" t="s">
        <v>242</v>
      </c>
    </row>
    <row r="20" spans="1:22" hidden="1" x14ac:dyDescent="0.3">
      <c r="A20" t="s">
        <v>79</v>
      </c>
      <c r="B20" t="s">
        <v>80</v>
      </c>
      <c r="C20" t="s">
        <v>88</v>
      </c>
      <c r="D20" t="s">
        <v>65</v>
      </c>
      <c r="E20" t="s">
        <v>19</v>
      </c>
      <c r="F20" t="s">
        <v>20</v>
      </c>
      <c r="G20" t="s">
        <v>56</v>
      </c>
      <c r="H20" t="s">
        <v>22</v>
      </c>
      <c r="I20" t="s">
        <v>35</v>
      </c>
      <c r="J20">
        <v>4</v>
      </c>
      <c r="K20">
        <v>392.4</v>
      </c>
      <c r="L20">
        <v>0.11</v>
      </c>
      <c r="M20">
        <v>1396.94</v>
      </c>
      <c r="N20">
        <v>231.43</v>
      </c>
      <c r="O20" s="2">
        <v>45962</v>
      </c>
      <c r="P20">
        <v>2025</v>
      </c>
      <c r="Q20">
        <v>11</v>
      </c>
      <c r="R20" t="s">
        <v>241</v>
      </c>
      <c r="S20">
        <v>4</v>
      </c>
      <c r="T20">
        <v>1</v>
      </c>
      <c r="U20">
        <v>6</v>
      </c>
      <c r="V20" t="s">
        <v>239</v>
      </c>
    </row>
    <row r="21" spans="1:22" hidden="1" x14ac:dyDescent="0.3">
      <c r="A21" t="s">
        <v>62</v>
      </c>
      <c r="B21" t="s">
        <v>63</v>
      </c>
      <c r="C21" t="s">
        <v>89</v>
      </c>
      <c r="D21" t="s">
        <v>33</v>
      </c>
      <c r="E21" t="s">
        <v>19</v>
      </c>
      <c r="F21" t="s">
        <v>34</v>
      </c>
      <c r="G21" t="s">
        <v>56</v>
      </c>
      <c r="H21" t="s">
        <v>51</v>
      </c>
      <c r="I21" t="s">
        <v>77</v>
      </c>
      <c r="J21">
        <v>1</v>
      </c>
      <c r="K21">
        <v>117.41</v>
      </c>
      <c r="L21">
        <v>0.13</v>
      </c>
      <c r="M21">
        <v>102.15</v>
      </c>
      <c r="N21">
        <v>24.6</v>
      </c>
      <c r="O21" s="2">
        <v>45817</v>
      </c>
      <c r="P21">
        <v>2025</v>
      </c>
      <c r="Q21">
        <v>6</v>
      </c>
      <c r="R21" t="s">
        <v>240</v>
      </c>
      <c r="S21">
        <v>2</v>
      </c>
      <c r="T21">
        <v>2</v>
      </c>
      <c r="U21">
        <v>1</v>
      </c>
      <c r="V21" t="s">
        <v>234</v>
      </c>
    </row>
    <row r="22" spans="1:22" x14ac:dyDescent="0.3">
      <c r="A22" t="s">
        <v>90</v>
      </c>
      <c r="B22" t="s">
        <v>91</v>
      </c>
      <c r="C22" t="s">
        <v>92</v>
      </c>
      <c r="D22" t="s">
        <v>38</v>
      </c>
      <c r="E22" t="s">
        <v>70</v>
      </c>
      <c r="F22" t="s">
        <v>34</v>
      </c>
      <c r="G22" t="s">
        <v>21</v>
      </c>
      <c r="H22" t="s">
        <v>28</v>
      </c>
      <c r="I22" t="s">
        <v>93</v>
      </c>
      <c r="J22">
        <v>8</v>
      </c>
      <c r="K22">
        <v>42.69</v>
      </c>
      <c r="L22">
        <v>0.03</v>
      </c>
      <c r="M22">
        <v>331.27</v>
      </c>
      <c r="N22">
        <v>89.83</v>
      </c>
      <c r="O22" s="2">
        <v>45987</v>
      </c>
      <c r="P22">
        <v>2025</v>
      </c>
      <c r="Q22">
        <v>11</v>
      </c>
      <c r="R22" t="s">
        <v>241</v>
      </c>
      <c r="S22">
        <v>4</v>
      </c>
      <c r="T22">
        <v>5</v>
      </c>
      <c r="U22">
        <v>3</v>
      </c>
      <c r="V22" t="s">
        <v>242</v>
      </c>
    </row>
    <row r="23" spans="1:22" hidden="1" x14ac:dyDescent="0.3">
      <c r="A23" t="s">
        <v>30</v>
      </c>
      <c r="B23" t="s">
        <v>31</v>
      </c>
      <c r="C23" t="s">
        <v>95</v>
      </c>
      <c r="D23" t="s">
        <v>18</v>
      </c>
      <c r="E23" t="s">
        <v>44</v>
      </c>
      <c r="F23" t="s">
        <v>20</v>
      </c>
      <c r="G23" t="s">
        <v>27</v>
      </c>
      <c r="H23" t="s">
        <v>39</v>
      </c>
      <c r="I23" t="s">
        <v>40</v>
      </c>
      <c r="J23">
        <v>5</v>
      </c>
      <c r="K23">
        <v>383.34</v>
      </c>
      <c r="L23">
        <v>0.01</v>
      </c>
      <c r="M23">
        <v>1897.53</v>
      </c>
      <c r="N23">
        <v>434.87</v>
      </c>
      <c r="O23" s="2">
        <v>45659</v>
      </c>
      <c r="P23">
        <v>2025</v>
      </c>
      <c r="Q23">
        <v>1</v>
      </c>
      <c r="R23" t="s">
        <v>238</v>
      </c>
      <c r="S23">
        <v>1</v>
      </c>
      <c r="T23">
        <v>1</v>
      </c>
      <c r="U23">
        <v>4</v>
      </c>
      <c r="V23" t="s">
        <v>231</v>
      </c>
    </row>
    <row r="24" spans="1:22" hidden="1" x14ac:dyDescent="0.3">
      <c r="A24" t="s">
        <v>90</v>
      </c>
      <c r="B24" t="s">
        <v>91</v>
      </c>
      <c r="C24" t="s">
        <v>96</v>
      </c>
      <c r="D24" t="s">
        <v>33</v>
      </c>
      <c r="E24" t="s">
        <v>70</v>
      </c>
      <c r="F24" t="s">
        <v>20</v>
      </c>
      <c r="G24" t="s">
        <v>27</v>
      </c>
      <c r="H24" t="s">
        <v>22</v>
      </c>
      <c r="I24" t="s">
        <v>23</v>
      </c>
      <c r="J24">
        <v>2</v>
      </c>
      <c r="K24">
        <v>429.03</v>
      </c>
      <c r="L24">
        <v>0.22</v>
      </c>
      <c r="M24">
        <v>669.29</v>
      </c>
      <c r="N24">
        <v>163.41999999999999</v>
      </c>
      <c r="O24" s="2">
        <v>45666</v>
      </c>
      <c r="P24">
        <v>2025</v>
      </c>
      <c r="Q24">
        <v>1</v>
      </c>
      <c r="R24" t="s">
        <v>238</v>
      </c>
      <c r="S24">
        <v>1</v>
      </c>
      <c r="T24">
        <v>2</v>
      </c>
      <c r="U24">
        <v>4</v>
      </c>
      <c r="V24" t="s">
        <v>231</v>
      </c>
    </row>
    <row r="25" spans="1:22" x14ac:dyDescent="0.3">
      <c r="A25" t="s">
        <v>41</v>
      </c>
      <c r="B25" t="s">
        <v>42</v>
      </c>
      <c r="C25" t="s">
        <v>97</v>
      </c>
      <c r="D25" t="s">
        <v>18</v>
      </c>
      <c r="E25" t="s">
        <v>44</v>
      </c>
      <c r="F25" t="s">
        <v>34</v>
      </c>
      <c r="G25" t="s">
        <v>21</v>
      </c>
      <c r="H25" t="s">
        <v>22</v>
      </c>
      <c r="I25" t="s">
        <v>23</v>
      </c>
      <c r="J25">
        <v>5</v>
      </c>
      <c r="K25">
        <v>401</v>
      </c>
      <c r="L25">
        <v>0.27</v>
      </c>
      <c r="M25">
        <v>1463.65</v>
      </c>
      <c r="N25">
        <v>408.93</v>
      </c>
      <c r="O25" s="2">
        <v>45966</v>
      </c>
      <c r="P25">
        <v>2025</v>
      </c>
      <c r="Q25">
        <v>11</v>
      </c>
      <c r="R25" t="s">
        <v>241</v>
      </c>
      <c r="S25">
        <v>4</v>
      </c>
      <c r="T25">
        <v>2</v>
      </c>
      <c r="U25">
        <v>3</v>
      </c>
      <c r="V25" t="s">
        <v>242</v>
      </c>
    </row>
    <row r="26" spans="1:22" hidden="1" x14ac:dyDescent="0.3">
      <c r="A26" t="s">
        <v>58</v>
      </c>
      <c r="B26" t="s">
        <v>59</v>
      </c>
      <c r="C26" t="s">
        <v>98</v>
      </c>
      <c r="D26" t="s">
        <v>33</v>
      </c>
      <c r="E26" t="s">
        <v>26</v>
      </c>
      <c r="F26" t="s">
        <v>34</v>
      </c>
      <c r="G26" t="s">
        <v>27</v>
      </c>
      <c r="H26" t="s">
        <v>28</v>
      </c>
      <c r="I26" t="s">
        <v>73</v>
      </c>
      <c r="J26">
        <v>2</v>
      </c>
      <c r="K26">
        <v>306.52</v>
      </c>
      <c r="L26">
        <v>0.24</v>
      </c>
      <c r="M26">
        <v>465.91</v>
      </c>
      <c r="N26">
        <v>82.52</v>
      </c>
      <c r="O26" s="2">
        <v>45848</v>
      </c>
      <c r="P26">
        <v>2025</v>
      </c>
      <c r="Q26">
        <v>7</v>
      </c>
      <c r="R26" t="s">
        <v>244</v>
      </c>
      <c r="S26">
        <v>3</v>
      </c>
      <c r="T26">
        <v>2</v>
      </c>
      <c r="U26">
        <v>4</v>
      </c>
      <c r="V26" t="s">
        <v>231</v>
      </c>
    </row>
    <row r="27" spans="1:22" hidden="1" x14ac:dyDescent="0.3">
      <c r="A27" t="s">
        <v>58</v>
      </c>
      <c r="B27" t="s">
        <v>59</v>
      </c>
      <c r="C27" t="s">
        <v>99</v>
      </c>
      <c r="D27" t="s">
        <v>69</v>
      </c>
      <c r="E27" t="s">
        <v>44</v>
      </c>
      <c r="F27" t="s">
        <v>20</v>
      </c>
      <c r="G27" t="s">
        <v>56</v>
      </c>
      <c r="H27" t="s">
        <v>51</v>
      </c>
      <c r="I27" t="s">
        <v>52</v>
      </c>
      <c r="J27">
        <v>5</v>
      </c>
      <c r="K27">
        <v>257.36</v>
      </c>
      <c r="L27">
        <v>0.03</v>
      </c>
      <c r="M27">
        <v>1248.2</v>
      </c>
      <c r="N27">
        <v>343.41</v>
      </c>
      <c r="O27" s="2">
        <v>45739</v>
      </c>
      <c r="P27">
        <v>2025</v>
      </c>
      <c r="Q27">
        <v>3</v>
      </c>
      <c r="R27" t="s">
        <v>236</v>
      </c>
      <c r="S27">
        <v>1</v>
      </c>
      <c r="T27">
        <v>5</v>
      </c>
      <c r="U27">
        <v>0</v>
      </c>
      <c r="V27" t="s">
        <v>237</v>
      </c>
    </row>
    <row r="28" spans="1:22" hidden="1" x14ac:dyDescent="0.3">
      <c r="A28" t="s">
        <v>15</v>
      </c>
      <c r="B28" t="s">
        <v>16</v>
      </c>
      <c r="C28" t="s">
        <v>101</v>
      </c>
      <c r="D28" t="s">
        <v>49</v>
      </c>
      <c r="E28" t="s">
        <v>19</v>
      </c>
      <c r="F28" t="s">
        <v>20</v>
      </c>
      <c r="G28" t="s">
        <v>27</v>
      </c>
      <c r="H28" t="s">
        <v>28</v>
      </c>
      <c r="I28" t="s">
        <v>29</v>
      </c>
      <c r="J28">
        <v>10</v>
      </c>
      <c r="K28">
        <v>359.64</v>
      </c>
      <c r="L28">
        <v>0.22</v>
      </c>
      <c r="M28">
        <v>2805.19</v>
      </c>
      <c r="N28">
        <v>657.05</v>
      </c>
      <c r="O28" s="2">
        <v>45728</v>
      </c>
      <c r="P28">
        <v>2025</v>
      </c>
      <c r="Q28">
        <v>3</v>
      </c>
      <c r="R28" t="s">
        <v>236</v>
      </c>
      <c r="S28">
        <v>1</v>
      </c>
      <c r="T28">
        <v>3</v>
      </c>
      <c r="U28">
        <v>3</v>
      </c>
      <c r="V28" t="s">
        <v>242</v>
      </c>
    </row>
    <row r="29" spans="1:22" hidden="1" x14ac:dyDescent="0.3">
      <c r="A29" t="s">
        <v>62</v>
      </c>
      <c r="B29" t="s">
        <v>63</v>
      </c>
      <c r="C29" t="s">
        <v>102</v>
      </c>
      <c r="D29" t="s">
        <v>49</v>
      </c>
      <c r="E29" t="s">
        <v>26</v>
      </c>
      <c r="F29" t="s">
        <v>34</v>
      </c>
      <c r="G29" t="s">
        <v>27</v>
      </c>
      <c r="H29" t="s">
        <v>51</v>
      </c>
      <c r="I29" t="s">
        <v>52</v>
      </c>
      <c r="J29">
        <v>5</v>
      </c>
      <c r="K29">
        <v>234.86</v>
      </c>
      <c r="L29">
        <v>0</v>
      </c>
      <c r="M29">
        <v>1174.3</v>
      </c>
      <c r="N29">
        <v>308.18</v>
      </c>
      <c r="O29" s="2">
        <v>45947</v>
      </c>
      <c r="P29">
        <v>2025</v>
      </c>
      <c r="Q29">
        <v>10</v>
      </c>
      <c r="R29" t="s">
        <v>230</v>
      </c>
      <c r="S29">
        <v>4</v>
      </c>
      <c r="T29">
        <v>3</v>
      </c>
      <c r="U29">
        <v>5</v>
      </c>
      <c r="V29" t="s">
        <v>233</v>
      </c>
    </row>
    <row r="30" spans="1:22" hidden="1" x14ac:dyDescent="0.3">
      <c r="A30" t="s">
        <v>15</v>
      </c>
      <c r="B30" t="s">
        <v>16</v>
      </c>
      <c r="C30" t="s">
        <v>104</v>
      </c>
      <c r="D30" t="s">
        <v>65</v>
      </c>
      <c r="E30" t="s">
        <v>70</v>
      </c>
      <c r="F30" t="s">
        <v>20</v>
      </c>
      <c r="G30" t="s">
        <v>27</v>
      </c>
      <c r="H30" t="s">
        <v>28</v>
      </c>
      <c r="I30" t="s">
        <v>29</v>
      </c>
      <c r="J30">
        <v>2</v>
      </c>
      <c r="K30">
        <v>104.22</v>
      </c>
      <c r="L30">
        <v>0.09</v>
      </c>
      <c r="M30">
        <v>189.68</v>
      </c>
      <c r="N30">
        <v>56.65</v>
      </c>
      <c r="O30" s="2">
        <v>45671</v>
      </c>
      <c r="P30">
        <v>2025</v>
      </c>
      <c r="Q30">
        <v>1</v>
      </c>
      <c r="R30" t="s">
        <v>238</v>
      </c>
      <c r="S30">
        <v>1</v>
      </c>
      <c r="T30">
        <v>3</v>
      </c>
      <c r="U30">
        <v>2</v>
      </c>
      <c r="V30" t="s">
        <v>245</v>
      </c>
    </row>
    <row r="31" spans="1:22" x14ac:dyDescent="0.3">
      <c r="A31" t="s">
        <v>30</v>
      </c>
      <c r="B31" t="s">
        <v>31</v>
      </c>
      <c r="C31" t="s">
        <v>106</v>
      </c>
      <c r="D31" t="s">
        <v>107</v>
      </c>
      <c r="E31" t="s">
        <v>70</v>
      </c>
      <c r="F31" t="s">
        <v>34</v>
      </c>
      <c r="G31" t="s">
        <v>21</v>
      </c>
      <c r="H31" t="s">
        <v>28</v>
      </c>
      <c r="I31" t="s">
        <v>73</v>
      </c>
      <c r="J31">
        <v>2</v>
      </c>
      <c r="K31">
        <v>358.17</v>
      </c>
      <c r="L31">
        <v>0.16</v>
      </c>
      <c r="M31">
        <v>601.73</v>
      </c>
      <c r="N31">
        <v>171.2</v>
      </c>
      <c r="O31" s="2">
        <v>45894</v>
      </c>
      <c r="P31">
        <v>2025</v>
      </c>
      <c r="Q31">
        <v>8</v>
      </c>
      <c r="R31" t="s">
        <v>232</v>
      </c>
      <c r="S31">
        <v>3</v>
      </c>
      <c r="T31">
        <v>5</v>
      </c>
      <c r="U31">
        <v>1</v>
      </c>
      <c r="V31" t="s">
        <v>234</v>
      </c>
    </row>
    <row r="32" spans="1:22" hidden="1" x14ac:dyDescent="0.3">
      <c r="A32" t="s">
        <v>109</v>
      </c>
      <c r="B32" t="s">
        <v>110</v>
      </c>
      <c r="C32" t="s">
        <v>111</v>
      </c>
      <c r="D32" t="s">
        <v>65</v>
      </c>
      <c r="E32" t="s">
        <v>70</v>
      </c>
      <c r="F32" t="s">
        <v>20</v>
      </c>
      <c r="G32" t="s">
        <v>27</v>
      </c>
      <c r="H32" t="s">
        <v>51</v>
      </c>
      <c r="I32" t="s">
        <v>112</v>
      </c>
      <c r="J32">
        <v>5</v>
      </c>
      <c r="K32">
        <v>387.61</v>
      </c>
      <c r="L32">
        <v>0.13</v>
      </c>
      <c r="M32">
        <v>1686.1</v>
      </c>
      <c r="N32">
        <v>258.93</v>
      </c>
      <c r="O32" s="2">
        <v>45906</v>
      </c>
      <c r="P32">
        <v>2025</v>
      </c>
      <c r="Q32">
        <v>9</v>
      </c>
      <c r="R32" t="s">
        <v>246</v>
      </c>
      <c r="S32">
        <v>3</v>
      </c>
      <c r="T32">
        <v>1</v>
      </c>
      <c r="U32">
        <v>6</v>
      </c>
      <c r="V32" t="s">
        <v>239</v>
      </c>
    </row>
    <row r="33" spans="1:22" hidden="1" x14ac:dyDescent="0.3">
      <c r="A33" t="s">
        <v>41</v>
      </c>
      <c r="B33" t="s">
        <v>42</v>
      </c>
      <c r="C33" t="s">
        <v>113</v>
      </c>
      <c r="D33" t="s">
        <v>107</v>
      </c>
      <c r="E33" t="s">
        <v>26</v>
      </c>
      <c r="F33" t="s">
        <v>34</v>
      </c>
      <c r="G33" t="s">
        <v>50</v>
      </c>
      <c r="H33" t="s">
        <v>39</v>
      </c>
      <c r="I33" t="s">
        <v>86</v>
      </c>
      <c r="J33">
        <v>10</v>
      </c>
      <c r="K33">
        <v>476.12</v>
      </c>
      <c r="L33">
        <v>0.19</v>
      </c>
      <c r="M33">
        <v>3856.57</v>
      </c>
      <c r="N33">
        <v>414.77</v>
      </c>
      <c r="O33" s="2">
        <v>45981</v>
      </c>
      <c r="P33">
        <v>2025</v>
      </c>
      <c r="Q33">
        <v>11</v>
      </c>
      <c r="R33" t="s">
        <v>241</v>
      </c>
      <c r="S33">
        <v>4</v>
      </c>
      <c r="T33">
        <v>4</v>
      </c>
      <c r="U33">
        <v>4</v>
      </c>
      <c r="V33" t="s">
        <v>231</v>
      </c>
    </row>
    <row r="34" spans="1:22" hidden="1" x14ac:dyDescent="0.3">
      <c r="A34" t="s">
        <v>79</v>
      </c>
      <c r="B34" t="s">
        <v>80</v>
      </c>
      <c r="C34" t="s">
        <v>115</v>
      </c>
      <c r="D34" t="s">
        <v>38</v>
      </c>
      <c r="E34" t="s">
        <v>26</v>
      </c>
      <c r="F34" t="s">
        <v>20</v>
      </c>
      <c r="G34" t="s">
        <v>56</v>
      </c>
      <c r="H34" t="s">
        <v>22</v>
      </c>
      <c r="I34" t="s">
        <v>116</v>
      </c>
      <c r="J34">
        <v>4</v>
      </c>
      <c r="K34">
        <v>181.1</v>
      </c>
      <c r="L34">
        <v>0.27</v>
      </c>
      <c r="M34">
        <v>528.80999999999995</v>
      </c>
      <c r="N34">
        <v>157</v>
      </c>
      <c r="O34" s="2">
        <v>45903</v>
      </c>
      <c r="P34">
        <v>2025</v>
      </c>
      <c r="Q34">
        <v>9</v>
      </c>
      <c r="R34" t="s">
        <v>246</v>
      </c>
      <c r="S34">
        <v>3</v>
      </c>
      <c r="T34">
        <v>1</v>
      </c>
      <c r="U34">
        <v>3</v>
      </c>
      <c r="V34" t="s">
        <v>242</v>
      </c>
    </row>
    <row r="35" spans="1:22" hidden="1" x14ac:dyDescent="0.3">
      <c r="A35" t="s">
        <v>58</v>
      </c>
      <c r="B35" t="s">
        <v>59</v>
      </c>
      <c r="C35" t="s">
        <v>117</v>
      </c>
      <c r="D35" t="s">
        <v>83</v>
      </c>
      <c r="E35" t="s">
        <v>19</v>
      </c>
      <c r="F35" t="s">
        <v>20</v>
      </c>
      <c r="G35" t="s">
        <v>56</v>
      </c>
      <c r="H35" t="s">
        <v>39</v>
      </c>
      <c r="I35" t="s">
        <v>118</v>
      </c>
      <c r="J35">
        <v>2</v>
      </c>
      <c r="K35">
        <v>305.24</v>
      </c>
      <c r="L35">
        <v>0.22</v>
      </c>
      <c r="M35">
        <v>476.17</v>
      </c>
      <c r="N35">
        <v>121.85</v>
      </c>
      <c r="O35" s="2">
        <v>45861</v>
      </c>
      <c r="P35">
        <v>2025</v>
      </c>
      <c r="Q35">
        <v>7</v>
      </c>
      <c r="R35" t="s">
        <v>244</v>
      </c>
      <c r="S35">
        <v>3</v>
      </c>
      <c r="T35">
        <v>4</v>
      </c>
      <c r="U35">
        <v>3</v>
      </c>
      <c r="V35" t="s">
        <v>242</v>
      </c>
    </row>
    <row r="36" spans="1:22" x14ac:dyDescent="0.3">
      <c r="A36" t="s">
        <v>109</v>
      </c>
      <c r="B36" t="s">
        <v>110</v>
      </c>
      <c r="C36" t="s">
        <v>120</v>
      </c>
      <c r="D36" t="s">
        <v>69</v>
      </c>
      <c r="E36" t="s">
        <v>19</v>
      </c>
      <c r="F36" t="s">
        <v>34</v>
      </c>
      <c r="G36" t="s">
        <v>21</v>
      </c>
      <c r="H36" t="s">
        <v>28</v>
      </c>
      <c r="I36" t="s">
        <v>73</v>
      </c>
      <c r="J36">
        <v>6</v>
      </c>
      <c r="K36">
        <v>87.29</v>
      </c>
      <c r="L36">
        <v>0.25</v>
      </c>
      <c r="M36">
        <v>392.81</v>
      </c>
      <c r="N36">
        <v>89.2</v>
      </c>
      <c r="O36" s="2">
        <v>45724</v>
      </c>
      <c r="P36">
        <v>2025</v>
      </c>
      <c r="Q36">
        <v>3</v>
      </c>
      <c r="R36" t="s">
        <v>236</v>
      </c>
      <c r="S36">
        <v>1</v>
      </c>
      <c r="T36">
        <v>2</v>
      </c>
      <c r="U36">
        <v>6</v>
      </c>
      <c r="V36" t="s">
        <v>239</v>
      </c>
    </row>
    <row r="37" spans="1:22" hidden="1" x14ac:dyDescent="0.3">
      <c r="A37" t="s">
        <v>62</v>
      </c>
      <c r="B37" t="s">
        <v>63</v>
      </c>
      <c r="C37" t="s">
        <v>121</v>
      </c>
      <c r="D37" t="s">
        <v>33</v>
      </c>
      <c r="E37" t="s">
        <v>19</v>
      </c>
      <c r="F37" t="s">
        <v>20</v>
      </c>
      <c r="G37" t="s">
        <v>50</v>
      </c>
      <c r="H37" t="s">
        <v>39</v>
      </c>
      <c r="I37" t="s">
        <v>118</v>
      </c>
      <c r="J37">
        <v>3</v>
      </c>
      <c r="K37">
        <v>39.24</v>
      </c>
      <c r="L37">
        <v>0.26</v>
      </c>
      <c r="M37">
        <v>87.11</v>
      </c>
      <c r="N37">
        <v>22.36</v>
      </c>
      <c r="O37" s="2">
        <v>45939</v>
      </c>
      <c r="P37">
        <v>2025</v>
      </c>
      <c r="Q37">
        <v>10</v>
      </c>
      <c r="R37" t="s">
        <v>230</v>
      </c>
      <c r="S37">
        <v>4</v>
      </c>
      <c r="T37">
        <v>2</v>
      </c>
      <c r="U37">
        <v>4</v>
      </c>
      <c r="V37" t="s">
        <v>231</v>
      </c>
    </row>
    <row r="38" spans="1:22" x14ac:dyDescent="0.3">
      <c r="A38" t="s">
        <v>30</v>
      </c>
      <c r="B38" t="s">
        <v>31</v>
      </c>
      <c r="C38" t="s">
        <v>122</v>
      </c>
      <c r="D38" t="s">
        <v>107</v>
      </c>
      <c r="E38" t="s">
        <v>26</v>
      </c>
      <c r="F38" t="s">
        <v>34</v>
      </c>
      <c r="G38" t="s">
        <v>21</v>
      </c>
      <c r="H38" t="s">
        <v>22</v>
      </c>
      <c r="I38" t="s">
        <v>116</v>
      </c>
      <c r="J38">
        <v>6</v>
      </c>
      <c r="K38">
        <v>427.97</v>
      </c>
      <c r="L38">
        <v>0.26</v>
      </c>
      <c r="M38">
        <v>1900.19</v>
      </c>
      <c r="N38">
        <v>405.11</v>
      </c>
      <c r="O38" s="2">
        <v>45849</v>
      </c>
      <c r="P38">
        <v>2025</v>
      </c>
      <c r="Q38">
        <v>7</v>
      </c>
      <c r="R38" t="s">
        <v>244</v>
      </c>
      <c r="S38">
        <v>3</v>
      </c>
      <c r="T38">
        <v>2</v>
      </c>
      <c r="U38">
        <v>5</v>
      </c>
      <c r="V38" t="s">
        <v>233</v>
      </c>
    </row>
    <row r="39" spans="1:22" hidden="1" x14ac:dyDescent="0.3">
      <c r="A39" t="s">
        <v>41</v>
      </c>
      <c r="B39" t="s">
        <v>42</v>
      </c>
      <c r="C39" t="s">
        <v>123</v>
      </c>
      <c r="D39" t="s">
        <v>65</v>
      </c>
      <c r="E39" t="s">
        <v>19</v>
      </c>
      <c r="F39" t="s">
        <v>34</v>
      </c>
      <c r="G39" t="s">
        <v>50</v>
      </c>
      <c r="H39" t="s">
        <v>28</v>
      </c>
      <c r="I39" t="s">
        <v>93</v>
      </c>
      <c r="J39">
        <v>6</v>
      </c>
      <c r="K39">
        <v>368.97</v>
      </c>
      <c r="L39">
        <v>0.12</v>
      </c>
      <c r="M39">
        <v>1948.16</v>
      </c>
      <c r="N39">
        <v>344.85</v>
      </c>
      <c r="O39" s="2">
        <v>45642</v>
      </c>
      <c r="P39">
        <v>2024</v>
      </c>
      <c r="Q39">
        <v>12</v>
      </c>
      <c r="R39" t="s">
        <v>247</v>
      </c>
      <c r="S39">
        <v>4</v>
      </c>
      <c r="T39">
        <v>3</v>
      </c>
      <c r="U39">
        <v>1</v>
      </c>
      <c r="V39" t="s">
        <v>234</v>
      </c>
    </row>
    <row r="40" spans="1:22" hidden="1" x14ac:dyDescent="0.3">
      <c r="A40" t="s">
        <v>41</v>
      </c>
      <c r="B40" t="s">
        <v>42</v>
      </c>
      <c r="C40" t="s">
        <v>125</v>
      </c>
      <c r="D40" t="s">
        <v>33</v>
      </c>
      <c r="E40" t="s">
        <v>44</v>
      </c>
      <c r="F40" t="s">
        <v>34</v>
      </c>
      <c r="G40" t="s">
        <v>27</v>
      </c>
      <c r="H40" t="s">
        <v>39</v>
      </c>
      <c r="I40" t="s">
        <v>118</v>
      </c>
      <c r="J40">
        <v>3</v>
      </c>
      <c r="K40">
        <v>269.69</v>
      </c>
      <c r="L40">
        <v>0.1</v>
      </c>
      <c r="M40">
        <v>728.16</v>
      </c>
      <c r="N40">
        <v>73.67</v>
      </c>
      <c r="O40" s="2">
        <v>45945</v>
      </c>
      <c r="P40">
        <v>2025</v>
      </c>
      <c r="Q40">
        <v>10</v>
      </c>
      <c r="R40" t="s">
        <v>230</v>
      </c>
      <c r="S40">
        <v>4</v>
      </c>
      <c r="T40">
        <v>3</v>
      </c>
      <c r="U40">
        <v>3</v>
      </c>
      <c r="V40" t="s">
        <v>242</v>
      </c>
    </row>
    <row r="41" spans="1:22" x14ac:dyDescent="0.3">
      <c r="A41" t="s">
        <v>58</v>
      </c>
      <c r="B41" t="s">
        <v>59</v>
      </c>
      <c r="C41" t="s">
        <v>127</v>
      </c>
      <c r="D41" t="s">
        <v>65</v>
      </c>
      <c r="E41" t="s">
        <v>19</v>
      </c>
      <c r="F41" t="s">
        <v>20</v>
      </c>
      <c r="G41" t="s">
        <v>21</v>
      </c>
      <c r="H41" t="s">
        <v>28</v>
      </c>
      <c r="I41" t="s">
        <v>29</v>
      </c>
      <c r="J41">
        <v>2</v>
      </c>
      <c r="K41">
        <v>209.36</v>
      </c>
      <c r="L41">
        <v>0.13</v>
      </c>
      <c r="M41">
        <v>364.29</v>
      </c>
      <c r="N41">
        <v>92.43</v>
      </c>
      <c r="O41" s="2">
        <v>45650</v>
      </c>
      <c r="P41">
        <v>2024</v>
      </c>
      <c r="Q41">
        <v>12</v>
      </c>
      <c r="R41" t="s">
        <v>247</v>
      </c>
      <c r="S41">
        <v>4</v>
      </c>
      <c r="T41">
        <v>4</v>
      </c>
      <c r="U41">
        <v>2</v>
      </c>
      <c r="V41" t="s">
        <v>245</v>
      </c>
    </row>
    <row r="42" spans="1:22" hidden="1" x14ac:dyDescent="0.3">
      <c r="A42" t="s">
        <v>53</v>
      </c>
      <c r="B42" t="s">
        <v>54</v>
      </c>
      <c r="C42" t="s">
        <v>129</v>
      </c>
      <c r="D42" t="s">
        <v>33</v>
      </c>
      <c r="E42" t="s">
        <v>70</v>
      </c>
      <c r="F42" t="s">
        <v>20</v>
      </c>
      <c r="G42" t="s">
        <v>50</v>
      </c>
      <c r="H42" t="s">
        <v>51</v>
      </c>
      <c r="I42" t="s">
        <v>112</v>
      </c>
      <c r="J42">
        <v>9</v>
      </c>
      <c r="K42">
        <v>415.59</v>
      </c>
      <c r="L42">
        <v>0.28999999999999998</v>
      </c>
      <c r="M42">
        <v>2655.62</v>
      </c>
      <c r="N42">
        <v>745.86</v>
      </c>
      <c r="O42" s="2">
        <v>45828</v>
      </c>
      <c r="P42">
        <v>2025</v>
      </c>
      <c r="Q42">
        <v>6</v>
      </c>
      <c r="R42" t="s">
        <v>240</v>
      </c>
      <c r="S42">
        <v>2</v>
      </c>
      <c r="T42">
        <v>3</v>
      </c>
      <c r="U42">
        <v>5</v>
      </c>
      <c r="V42" t="s">
        <v>233</v>
      </c>
    </row>
    <row r="43" spans="1:22" hidden="1" x14ac:dyDescent="0.3">
      <c r="A43" t="s">
        <v>41</v>
      </c>
      <c r="B43" t="s">
        <v>42</v>
      </c>
      <c r="C43" t="s">
        <v>131</v>
      </c>
      <c r="D43" t="s">
        <v>38</v>
      </c>
      <c r="E43" t="s">
        <v>70</v>
      </c>
      <c r="F43" t="s">
        <v>20</v>
      </c>
      <c r="G43" t="s">
        <v>50</v>
      </c>
      <c r="H43" t="s">
        <v>22</v>
      </c>
      <c r="I43" t="s">
        <v>116</v>
      </c>
      <c r="J43">
        <v>3</v>
      </c>
      <c r="K43">
        <v>430.83</v>
      </c>
      <c r="L43">
        <v>0.18</v>
      </c>
      <c r="M43">
        <v>1059.8399999999999</v>
      </c>
      <c r="N43">
        <v>169.85</v>
      </c>
      <c r="O43" s="2">
        <v>45645</v>
      </c>
      <c r="P43">
        <v>2024</v>
      </c>
      <c r="Q43">
        <v>12</v>
      </c>
      <c r="R43" t="s">
        <v>247</v>
      </c>
      <c r="S43">
        <v>4</v>
      </c>
      <c r="T43">
        <v>3</v>
      </c>
      <c r="U43">
        <v>4</v>
      </c>
      <c r="V43" t="s">
        <v>231</v>
      </c>
    </row>
    <row r="44" spans="1:22" hidden="1" x14ac:dyDescent="0.3">
      <c r="A44" t="s">
        <v>15</v>
      </c>
      <c r="B44" t="s">
        <v>16</v>
      </c>
      <c r="C44" t="s">
        <v>133</v>
      </c>
      <c r="D44" t="s">
        <v>49</v>
      </c>
      <c r="E44" t="s">
        <v>26</v>
      </c>
      <c r="F44" t="s">
        <v>34</v>
      </c>
      <c r="G44" t="s">
        <v>56</v>
      </c>
      <c r="H44" t="s">
        <v>22</v>
      </c>
      <c r="I44" t="s">
        <v>35</v>
      </c>
      <c r="J44">
        <v>6</v>
      </c>
      <c r="K44">
        <v>127.51</v>
      </c>
      <c r="L44">
        <v>7.0000000000000007E-2</v>
      </c>
      <c r="M44">
        <v>711.51</v>
      </c>
      <c r="N44">
        <v>202.83</v>
      </c>
      <c r="O44" s="2">
        <v>45876</v>
      </c>
      <c r="P44">
        <v>2025</v>
      </c>
      <c r="Q44">
        <v>8</v>
      </c>
      <c r="R44" t="s">
        <v>232</v>
      </c>
      <c r="S44">
        <v>3</v>
      </c>
      <c r="T44">
        <v>2</v>
      </c>
      <c r="U44">
        <v>4</v>
      </c>
      <c r="V44" t="s">
        <v>231</v>
      </c>
    </row>
    <row r="45" spans="1:22" hidden="1" x14ac:dyDescent="0.3">
      <c r="A45" t="s">
        <v>109</v>
      </c>
      <c r="B45" t="s">
        <v>110</v>
      </c>
      <c r="C45" t="s">
        <v>134</v>
      </c>
      <c r="D45" t="s">
        <v>107</v>
      </c>
      <c r="E45" t="s">
        <v>26</v>
      </c>
      <c r="F45" t="s">
        <v>20</v>
      </c>
      <c r="G45" t="s">
        <v>56</v>
      </c>
      <c r="H45" t="s">
        <v>22</v>
      </c>
      <c r="I45" t="s">
        <v>35</v>
      </c>
      <c r="J45">
        <v>2</v>
      </c>
      <c r="K45">
        <v>193.77</v>
      </c>
      <c r="L45">
        <v>0.03</v>
      </c>
      <c r="M45">
        <v>375.91</v>
      </c>
      <c r="N45">
        <v>73.86</v>
      </c>
      <c r="O45" s="2">
        <v>45909</v>
      </c>
      <c r="P45">
        <v>2025</v>
      </c>
      <c r="Q45">
        <v>9</v>
      </c>
      <c r="R45" t="s">
        <v>246</v>
      </c>
      <c r="S45">
        <v>3</v>
      </c>
      <c r="T45">
        <v>2</v>
      </c>
      <c r="U45">
        <v>2</v>
      </c>
      <c r="V45" t="s">
        <v>245</v>
      </c>
    </row>
    <row r="46" spans="1:22" hidden="1" x14ac:dyDescent="0.3">
      <c r="A46" t="s">
        <v>46</v>
      </c>
      <c r="B46" t="s">
        <v>47</v>
      </c>
      <c r="C46" t="s">
        <v>135</v>
      </c>
      <c r="D46" t="s">
        <v>136</v>
      </c>
      <c r="E46" t="s">
        <v>44</v>
      </c>
      <c r="F46" t="s">
        <v>20</v>
      </c>
      <c r="G46" t="s">
        <v>27</v>
      </c>
      <c r="H46" t="s">
        <v>39</v>
      </c>
      <c r="I46" t="s">
        <v>40</v>
      </c>
      <c r="J46">
        <v>2</v>
      </c>
      <c r="K46">
        <v>296.02</v>
      </c>
      <c r="L46">
        <v>7.0000000000000007E-2</v>
      </c>
      <c r="M46">
        <v>550.6</v>
      </c>
      <c r="N46">
        <v>163.25</v>
      </c>
      <c r="O46" s="2">
        <v>45722</v>
      </c>
      <c r="P46">
        <v>2025</v>
      </c>
      <c r="Q46">
        <v>3</v>
      </c>
      <c r="R46" t="s">
        <v>236</v>
      </c>
      <c r="S46">
        <v>1</v>
      </c>
      <c r="T46">
        <v>2</v>
      </c>
      <c r="U46">
        <v>4</v>
      </c>
      <c r="V46" t="s">
        <v>231</v>
      </c>
    </row>
    <row r="47" spans="1:22" hidden="1" x14ac:dyDescent="0.3">
      <c r="A47" t="s">
        <v>41</v>
      </c>
      <c r="B47" t="s">
        <v>42</v>
      </c>
      <c r="C47" t="s">
        <v>137</v>
      </c>
      <c r="D47" t="s">
        <v>61</v>
      </c>
      <c r="E47" t="s">
        <v>26</v>
      </c>
      <c r="F47" t="s">
        <v>34</v>
      </c>
      <c r="G47" t="s">
        <v>27</v>
      </c>
      <c r="H47" t="s">
        <v>51</v>
      </c>
      <c r="I47" t="s">
        <v>77</v>
      </c>
      <c r="J47">
        <v>3</v>
      </c>
      <c r="K47">
        <v>245.36</v>
      </c>
      <c r="L47">
        <v>0.08</v>
      </c>
      <c r="M47">
        <v>677.19</v>
      </c>
      <c r="N47">
        <v>140.08000000000001</v>
      </c>
      <c r="O47" s="2">
        <v>45918</v>
      </c>
      <c r="P47">
        <v>2025</v>
      </c>
      <c r="Q47">
        <v>9</v>
      </c>
      <c r="R47" t="s">
        <v>246</v>
      </c>
      <c r="S47">
        <v>3</v>
      </c>
      <c r="T47">
        <v>3</v>
      </c>
      <c r="U47">
        <v>4</v>
      </c>
      <c r="V47" t="s">
        <v>231</v>
      </c>
    </row>
    <row r="48" spans="1:22" x14ac:dyDescent="0.3">
      <c r="A48" t="s">
        <v>53</v>
      </c>
      <c r="B48" t="s">
        <v>54</v>
      </c>
      <c r="C48" t="s">
        <v>139</v>
      </c>
      <c r="D48" t="s">
        <v>65</v>
      </c>
      <c r="E48" t="s">
        <v>70</v>
      </c>
      <c r="F48" t="s">
        <v>34</v>
      </c>
      <c r="G48" t="s">
        <v>21</v>
      </c>
      <c r="H48" t="s">
        <v>39</v>
      </c>
      <c r="I48" t="s">
        <v>40</v>
      </c>
      <c r="J48">
        <v>3</v>
      </c>
      <c r="K48">
        <v>44.81</v>
      </c>
      <c r="L48">
        <v>0.2</v>
      </c>
      <c r="M48">
        <v>107.54</v>
      </c>
      <c r="N48">
        <v>31.74</v>
      </c>
      <c r="O48" s="2">
        <v>45817</v>
      </c>
      <c r="P48">
        <v>2025</v>
      </c>
      <c r="Q48">
        <v>6</v>
      </c>
      <c r="R48" t="s">
        <v>240</v>
      </c>
      <c r="S48">
        <v>2</v>
      </c>
      <c r="T48">
        <v>2</v>
      </c>
      <c r="U48">
        <v>1</v>
      </c>
      <c r="V48" t="s">
        <v>234</v>
      </c>
    </row>
    <row r="49" spans="1:22" hidden="1" x14ac:dyDescent="0.3">
      <c r="A49" t="s">
        <v>62</v>
      </c>
      <c r="B49" t="s">
        <v>63</v>
      </c>
      <c r="C49" t="s">
        <v>140</v>
      </c>
      <c r="D49" t="s">
        <v>61</v>
      </c>
      <c r="E49" t="s">
        <v>70</v>
      </c>
      <c r="F49" t="s">
        <v>34</v>
      </c>
      <c r="G49" t="s">
        <v>56</v>
      </c>
      <c r="H49" t="s">
        <v>39</v>
      </c>
      <c r="I49" t="s">
        <v>66</v>
      </c>
      <c r="J49">
        <v>10</v>
      </c>
      <c r="K49">
        <v>473.74</v>
      </c>
      <c r="L49">
        <v>0.23</v>
      </c>
      <c r="M49">
        <v>3647.8</v>
      </c>
      <c r="N49">
        <v>415.81</v>
      </c>
      <c r="O49" s="2">
        <v>45912</v>
      </c>
      <c r="P49">
        <v>2025</v>
      </c>
      <c r="Q49">
        <v>9</v>
      </c>
      <c r="R49" t="s">
        <v>246</v>
      </c>
      <c r="S49">
        <v>3</v>
      </c>
      <c r="T49">
        <v>2</v>
      </c>
      <c r="U49">
        <v>5</v>
      </c>
      <c r="V49" t="s">
        <v>233</v>
      </c>
    </row>
    <row r="50" spans="1:22" x14ac:dyDescent="0.3">
      <c r="A50" t="s">
        <v>62</v>
      </c>
      <c r="B50" t="s">
        <v>63</v>
      </c>
      <c r="C50" t="s">
        <v>141</v>
      </c>
      <c r="D50" t="s">
        <v>18</v>
      </c>
      <c r="E50" t="s">
        <v>44</v>
      </c>
      <c r="F50" t="s">
        <v>34</v>
      </c>
      <c r="G50" t="s">
        <v>21</v>
      </c>
      <c r="H50" t="s">
        <v>39</v>
      </c>
      <c r="I50" t="s">
        <v>40</v>
      </c>
      <c r="J50">
        <v>3</v>
      </c>
      <c r="K50">
        <v>190.38</v>
      </c>
      <c r="L50">
        <v>0.21</v>
      </c>
      <c r="M50">
        <v>451.2</v>
      </c>
      <c r="N50">
        <v>84.65</v>
      </c>
      <c r="O50" s="2">
        <v>45836</v>
      </c>
      <c r="P50">
        <v>2025</v>
      </c>
      <c r="Q50">
        <v>6</v>
      </c>
      <c r="R50" t="s">
        <v>240</v>
      </c>
      <c r="S50">
        <v>2</v>
      </c>
      <c r="T50">
        <v>4</v>
      </c>
      <c r="U50">
        <v>6</v>
      </c>
      <c r="V50" t="s">
        <v>239</v>
      </c>
    </row>
    <row r="51" spans="1:22" hidden="1" x14ac:dyDescent="0.3">
      <c r="A51" t="s">
        <v>41</v>
      </c>
      <c r="B51" t="s">
        <v>42</v>
      </c>
      <c r="C51" t="s">
        <v>143</v>
      </c>
      <c r="D51" t="s">
        <v>38</v>
      </c>
      <c r="E51" t="s">
        <v>44</v>
      </c>
      <c r="F51" t="s">
        <v>34</v>
      </c>
      <c r="G51" t="s">
        <v>50</v>
      </c>
      <c r="H51" t="s">
        <v>28</v>
      </c>
      <c r="I51" t="s">
        <v>29</v>
      </c>
      <c r="J51">
        <v>4</v>
      </c>
      <c r="K51">
        <v>338.27</v>
      </c>
      <c r="L51">
        <v>0.18</v>
      </c>
      <c r="M51">
        <v>1109.53</v>
      </c>
      <c r="N51">
        <v>130.6</v>
      </c>
      <c r="O51" s="2">
        <v>45897</v>
      </c>
      <c r="P51">
        <v>2025</v>
      </c>
      <c r="Q51">
        <v>8</v>
      </c>
      <c r="R51" t="s">
        <v>232</v>
      </c>
      <c r="S51">
        <v>3</v>
      </c>
      <c r="T51">
        <v>5</v>
      </c>
      <c r="U51">
        <v>4</v>
      </c>
      <c r="V51" t="s">
        <v>231</v>
      </c>
    </row>
    <row r="52" spans="1:22" hidden="1" x14ac:dyDescent="0.3">
      <c r="A52" t="s">
        <v>41</v>
      </c>
      <c r="B52" t="s">
        <v>42</v>
      </c>
      <c r="C52" t="s">
        <v>145</v>
      </c>
      <c r="D52" t="s">
        <v>136</v>
      </c>
      <c r="E52" t="s">
        <v>44</v>
      </c>
      <c r="F52" t="s">
        <v>34</v>
      </c>
      <c r="G52" t="s">
        <v>50</v>
      </c>
      <c r="H52" t="s">
        <v>39</v>
      </c>
      <c r="I52" t="s">
        <v>86</v>
      </c>
      <c r="J52">
        <v>5</v>
      </c>
      <c r="K52">
        <v>101.23</v>
      </c>
      <c r="L52">
        <v>0.21</v>
      </c>
      <c r="M52">
        <v>399.86</v>
      </c>
      <c r="N52">
        <v>71.760000000000005</v>
      </c>
      <c r="O52" s="2">
        <v>45740</v>
      </c>
      <c r="P52">
        <v>2025</v>
      </c>
      <c r="Q52">
        <v>3</v>
      </c>
      <c r="R52" t="s">
        <v>236</v>
      </c>
      <c r="S52">
        <v>1</v>
      </c>
      <c r="T52">
        <v>5</v>
      </c>
      <c r="U52">
        <v>1</v>
      </c>
      <c r="V52" t="s">
        <v>234</v>
      </c>
    </row>
    <row r="53" spans="1:22" hidden="1" x14ac:dyDescent="0.3">
      <c r="A53" t="s">
        <v>15</v>
      </c>
      <c r="B53" t="s">
        <v>16</v>
      </c>
      <c r="C53" t="s">
        <v>147</v>
      </c>
      <c r="D53" t="s">
        <v>49</v>
      </c>
      <c r="E53" t="s">
        <v>26</v>
      </c>
      <c r="F53" t="s">
        <v>34</v>
      </c>
      <c r="G53" t="s">
        <v>50</v>
      </c>
      <c r="H53" t="s">
        <v>22</v>
      </c>
      <c r="I53" t="s">
        <v>148</v>
      </c>
      <c r="J53">
        <v>5</v>
      </c>
      <c r="K53">
        <v>483.87</v>
      </c>
      <c r="L53">
        <v>7.0000000000000007E-2</v>
      </c>
      <c r="M53">
        <v>2250</v>
      </c>
      <c r="N53">
        <v>479.62</v>
      </c>
      <c r="O53" s="2">
        <v>45647</v>
      </c>
      <c r="P53">
        <v>2024</v>
      </c>
      <c r="Q53">
        <v>12</v>
      </c>
      <c r="R53" t="s">
        <v>247</v>
      </c>
      <c r="S53">
        <v>4</v>
      </c>
      <c r="T53">
        <v>3</v>
      </c>
      <c r="U53">
        <v>6</v>
      </c>
      <c r="V53" t="s">
        <v>239</v>
      </c>
    </row>
    <row r="54" spans="1:22" hidden="1" x14ac:dyDescent="0.3">
      <c r="A54" t="s">
        <v>30</v>
      </c>
      <c r="B54" t="s">
        <v>31</v>
      </c>
      <c r="C54" t="s">
        <v>150</v>
      </c>
      <c r="D54" t="s">
        <v>69</v>
      </c>
      <c r="E54" t="s">
        <v>26</v>
      </c>
      <c r="F54" t="s">
        <v>20</v>
      </c>
      <c r="G54" t="s">
        <v>50</v>
      </c>
      <c r="H54" t="s">
        <v>22</v>
      </c>
      <c r="I54" t="s">
        <v>116</v>
      </c>
      <c r="J54">
        <v>1</v>
      </c>
      <c r="K54">
        <v>97.26</v>
      </c>
      <c r="L54">
        <v>0.13</v>
      </c>
      <c r="M54">
        <v>84.62</v>
      </c>
      <c r="N54">
        <v>12.27</v>
      </c>
      <c r="O54" s="2">
        <v>45983</v>
      </c>
      <c r="P54">
        <v>2025</v>
      </c>
      <c r="Q54">
        <v>11</v>
      </c>
      <c r="R54" t="s">
        <v>241</v>
      </c>
      <c r="S54">
        <v>4</v>
      </c>
      <c r="T54">
        <v>4</v>
      </c>
      <c r="U54">
        <v>6</v>
      </c>
      <c r="V54" t="s">
        <v>239</v>
      </c>
    </row>
    <row r="55" spans="1:22" hidden="1" x14ac:dyDescent="0.3">
      <c r="A55" t="s">
        <v>62</v>
      </c>
      <c r="B55" t="s">
        <v>63</v>
      </c>
      <c r="C55" t="s">
        <v>152</v>
      </c>
      <c r="D55" t="s">
        <v>61</v>
      </c>
      <c r="E55" t="s">
        <v>44</v>
      </c>
      <c r="F55" t="s">
        <v>20</v>
      </c>
      <c r="G55" t="s">
        <v>50</v>
      </c>
      <c r="H55" t="s">
        <v>28</v>
      </c>
      <c r="I55" t="s">
        <v>29</v>
      </c>
      <c r="J55">
        <v>9</v>
      </c>
      <c r="K55">
        <v>205.89</v>
      </c>
      <c r="L55">
        <v>0.14000000000000001</v>
      </c>
      <c r="M55">
        <v>1593.59</v>
      </c>
      <c r="N55">
        <v>330.92</v>
      </c>
      <c r="O55" s="2">
        <v>45987</v>
      </c>
      <c r="P55">
        <v>2025</v>
      </c>
      <c r="Q55">
        <v>11</v>
      </c>
      <c r="R55" t="s">
        <v>241</v>
      </c>
      <c r="S55">
        <v>4</v>
      </c>
      <c r="T55">
        <v>5</v>
      </c>
      <c r="U55">
        <v>3</v>
      </c>
      <c r="V55" t="s">
        <v>242</v>
      </c>
    </row>
    <row r="56" spans="1:22" hidden="1" x14ac:dyDescent="0.3">
      <c r="A56" t="s">
        <v>46</v>
      </c>
      <c r="B56" t="s">
        <v>47</v>
      </c>
      <c r="C56" t="s">
        <v>153</v>
      </c>
      <c r="D56" t="s">
        <v>33</v>
      </c>
      <c r="E56" t="s">
        <v>26</v>
      </c>
      <c r="F56" t="s">
        <v>20</v>
      </c>
      <c r="G56" t="s">
        <v>56</v>
      </c>
      <c r="H56" t="s">
        <v>22</v>
      </c>
      <c r="I56" t="s">
        <v>35</v>
      </c>
      <c r="J56">
        <v>8</v>
      </c>
      <c r="K56">
        <v>57.66</v>
      </c>
      <c r="L56">
        <v>0.06</v>
      </c>
      <c r="M56">
        <v>433.6</v>
      </c>
      <c r="N56">
        <v>81.98</v>
      </c>
      <c r="O56" s="2">
        <v>45816</v>
      </c>
      <c r="P56">
        <v>2025</v>
      </c>
      <c r="Q56">
        <v>6</v>
      </c>
      <c r="R56" t="s">
        <v>240</v>
      </c>
      <c r="S56">
        <v>2</v>
      </c>
      <c r="T56">
        <v>2</v>
      </c>
      <c r="U56">
        <v>0</v>
      </c>
      <c r="V56" t="s">
        <v>237</v>
      </c>
    </row>
    <row r="57" spans="1:22" x14ac:dyDescent="0.3">
      <c r="A57" t="s">
        <v>109</v>
      </c>
      <c r="B57" t="s">
        <v>110</v>
      </c>
      <c r="C57" t="s">
        <v>154</v>
      </c>
      <c r="D57" t="s">
        <v>38</v>
      </c>
      <c r="E57" t="s">
        <v>26</v>
      </c>
      <c r="F57" t="s">
        <v>20</v>
      </c>
      <c r="G57" t="s">
        <v>21</v>
      </c>
      <c r="H57" t="s">
        <v>39</v>
      </c>
      <c r="I57" t="s">
        <v>40</v>
      </c>
      <c r="J57">
        <v>4</v>
      </c>
      <c r="K57">
        <v>208.59</v>
      </c>
      <c r="L57">
        <v>0.28000000000000003</v>
      </c>
      <c r="M57">
        <v>600.74</v>
      </c>
      <c r="N57">
        <v>76.63</v>
      </c>
      <c r="O57" s="2">
        <v>45944</v>
      </c>
      <c r="P57">
        <v>2025</v>
      </c>
      <c r="Q57">
        <v>10</v>
      </c>
      <c r="R57" t="s">
        <v>230</v>
      </c>
      <c r="S57">
        <v>4</v>
      </c>
      <c r="T57">
        <v>3</v>
      </c>
      <c r="U57">
        <v>2</v>
      </c>
      <c r="V57" t="s">
        <v>245</v>
      </c>
    </row>
    <row r="58" spans="1:22" x14ac:dyDescent="0.3">
      <c r="A58" t="s">
        <v>15</v>
      </c>
      <c r="B58" t="s">
        <v>16</v>
      </c>
      <c r="C58" t="s">
        <v>156</v>
      </c>
      <c r="D58" t="s">
        <v>69</v>
      </c>
      <c r="E58" t="s">
        <v>70</v>
      </c>
      <c r="F58" t="s">
        <v>20</v>
      </c>
      <c r="G58" t="s">
        <v>21</v>
      </c>
      <c r="H58" t="s">
        <v>39</v>
      </c>
      <c r="I58" t="s">
        <v>66</v>
      </c>
      <c r="J58">
        <v>3</v>
      </c>
      <c r="K58">
        <v>55.36</v>
      </c>
      <c r="L58">
        <v>0.05</v>
      </c>
      <c r="M58">
        <v>157.78</v>
      </c>
      <c r="N58">
        <v>29.36</v>
      </c>
      <c r="O58" s="2">
        <v>45915</v>
      </c>
      <c r="P58">
        <v>2025</v>
      </c>
      <c r="Q58">
        <v>9</v>
      </c>
      <c r="R58" t="s">
        <v>246</v>
      </c>
      <c r="S58">
        <v>3</v>
      </c>
      <c r="T58">
        <v>3</v>
      </c>
      <c r="U58">
        <v>1</v>
      </c>
      <c r="V58" t="s">
        <v>234</v>
      </c>
    </row>
    <row r="59" spans="1:22" x14ac:dyDescent="0.3">
      <c r="A59" t="s">
        <v>46</v>
      </c>
      <c r="B59" t="s">
        <v>47</v>
      </c>
      <c r="C59" t="s">
        <v>158</v>
      </c>
      <c r="D59" t="s">
        <v>107</v>
      </c>
      <c r="E59" t="s">
        <v>70</v>
      </c>
      <c r="F59" t="s">
        <v>20</v>
      </c>
      <c r="G59" t="s">
        <v>21</v>
      </c>
      <c r="H59" t="s">
        <v>51</v>
      </c>
      <c r="I59" t="s">
        <v>57</v>
      </c>
      <c r="J59">
        <v>1</v>
      </c>
      <c r="K59">
        <v>490.93</v>
      </c>
      <c r="L59">
        <v>0.16</v>
      </c>
      <c r="M59">
        <v>412.38</v>
      </c>
      <c r="N59">
        <v>52.52</v>
      </c>
      <c r="O59" s="2">
        <v>45721</v>
      </c>
      <c r="P59">
        <v>2025</v>
      </c>
      <c r="Q59">
        <v>3</v>
      </c>
      <c r="R59" t="s">
        <v>236</v>
      </c>
      <c r="S59">
        <v>1</v>
      </c>
      <c r="T59">
        <v>2</v>
      </c>
      <c r="U59">
        <v>3</v>
      </c>
      <c r="V59" t="s">
        <v>242</v>
      </c>
    </row>
    <row r="60" spans="1:22" hidden="1" x14ac:dyDescent="0.3">
      <c r="A60" t="s">
        <v>30</v>
      </c>
      <c r="B60" t="s">
        <v>31</v>
      </c>
      <c r="C60" t="s">
        <v>159</v>
      </c>
      <c r="D60" t="s">
        <v>49</v>
      </c>
      <c r="E60" t="s">
        <v>19</v>
      </c>
      <c r="F60" t="s">
        <v>34</v>
      </c>
      <c r="G60" t="s">
        <v>56</v>
      </c>
      <c r="H60" t="s">
        <v>51</v>
      </c>
      <c r="I60" t="s">
        <v>77</v>
      </c>
      <c r="J60">
        <v>2</v>
      </c>
      <c r="K60">
        <v>51.87</v>
      </c>
      <c r="L60">
        <v>0.2</v>
      </c>
      <c r="M60">
        <v>82.99</v>
      </c>
      <c r="N60">
        <v>8.9</v>
      </c>
      <c r="O60" s="2">
        <v>45878</v>
      </c>
      <c r="P60">
        <v>2025</v>
      </c>
      <c r="Q60">
        <v>8</v>
      </c>
      <c r="R60" t="s">
        <v>232</v>
      </c>
      <c r="S60">
        <v>3</v>
      </c>
      <c r="T60">
        <v>2</v>
      </c>
      <c r="U60">
        <v>6</v>
      </c>
      <c r="V60" t="s">
        <v>239</v>
      </c>
    </row>
    <row r="61" spans="1:22" hidden="1" x14ac:dyDescent="0.3">
      <c r="A61" t="s">
        <v>62</v>
      </c>
      <c r="B61" t="s">
        <v>63</v>
      </c>
      <c r="C61" t="s">
        <v>160</v>
      </c>
      <c r="D61" t="s">
        <v>18</v>
      </c>
      <c r="E61" t="s">
        <v>44</v>
      </c>
      <c r="F61" t="s">
        <v>20</v>
      </c>
      <c r="G61" t="s">
        <v>56</v>
      </c>
      <c r="H61" t="s">
        <v>51</v>
      </c>
      <c r="I61" t="s">
        <v>57</v>
      </c>
      <c r="J61">
        <v>3</v>
      </c>
      <c r="K61">
        <v>254.86</v>
      </c>
      <c r="L61">
        <v>0.2</v>
      </c>
      <c r="M61">
        <v>611.66</v>
      </c>
      <c r="N61">
        <v>79.06</v>
      </c>
      <c r="O61" s="2">
        <v>45768</v>
      </c>
      <c r="P61">
        <v>2025</v>
      </c>
      <c r="Q61">
        <v>4</v>
      </c>
      <c r="R61" t="s">
        <v>243</v>
      </c>
      <c r="S61">
        <v>2</v>
      </c>
      <c r="T61">
        <v>4</v>
      </c>
      <c r="U61">
        <v>1</v>
      </c>
      <c r="V61" t="s">
        <v>234</v>
      </c>
    </row>
    <row r="62" spans="1:22" hidden="1" x14ac:dyDescent="0.3">
      <c r="A62" t="s">
        <v>30</v>
      </c>
      <c r="B62" t="s">
        <v>31</v>
      </c>
      <c r="C62" t="s">
        <v>162</v>
      </c>
      <c r="D62" t="s">
        <v>83</v>
      </c>
      <c r="E62" t="s">
        <v>19</v>
      </c>
      <c r="F62" t="s">
        <v>20</v>
      </c>
      <c r="G62" t="s">
        <v>27</v>
      </c>
      <c r="H62" t="s">
        <v>28</v>
      </c>
      <c r="I62" t="s">
        <v>73</v>
      </c>
      <c r="J62">
        <v>1</v>
      </c>
      <c r="K62">
        <v>90.17</v>
      </c>
      <c r="L62">
        <v>0.24</v>
      </c>
      <c r="M62">
        <v>68.53</v>
      </c>
      <c r="N62">
        <v>18.48</v>
      </c>
      <c r="O62" s="2">
        <v>45875</v>
      </c>
      <c r="P62">
        <v>2025</v>
      </c>
      <c r="Q62">
        <v>8</v>
      </c>
      <c r="R62" t="s">
        <v>232</v>
      </c>
      <c r="S62">
        <v>3</v>
      </c>
      <c r="T62">
        <v>2</v>
      </c>
      <c r="U62">
        <v>3</v>
      </c>
      <c r="V62" t="s">
        <v>242</v>
      </c>
    </row>
    <row r="63" spans="1:22" hidden="1" x14ac:dyDescent="0.3">
      <c r="A63" t="s">
        <v>58</v>
      </c>
      <c r="B63" t="s">
        <v>59</v>
      </c>
      <c r="C63" t="s">
        <v>163</v>
      </c>
      <c r="D63" t="s">
        <v>69</v>
      </c>
      <c r="E63" t="s">
        <v>26</v>
      </c>
      <c r="F63" t="s">
        <v>34</v>
      </c>
      <c r="G63" t="s">
        <v>50</v>
      </c>
      <c r="H63" t="s">
        <v>28</v>
      </c>
      <c r="I63" t="s">
        <v>45</v>
      </c>
      <c r="J63">
        <v>4</v>
      </c>
      <c r="K63">
        <v>210.33</v>
      </c>
      <c r="L63">
        <v>0.28000000000000003</v>
      </c>
      <c r="M63">
        <v>605.75</v>
      </c>
      <c r="N63">
        <v>144.03</v>
      </c>
      <c r="O63" s="2">
        <v>45744</v>
      </c>
      <c r="P63">
        <v>2025</v>
      </c>
      <c r="Q63">
        <v>3</v>
      </c>
      <c r="R63" t="s">
        <v>236</v>
      </c>
      <c r="S63">
        <v>1</v>
      </c>
      <c r="T63">
        <v>5</v>
      </c>
      <c r="U63">
        <v>5</v>
      </c>
      <c r="V63" t="s">
        <v>233</v>
      </c>
    </row>
    <row r="64" spans="1:22" hidden="1" x14ac:dyDescent="0.3">
      <c r="A64" t="s">
        <v>62</v>
      </c>
      <c r="B64" t="s">
        <v>63</v>
      </c>
      <c r="C64" t="s">
        <v>165</v>
      </c>
      <c r="D64" t="s">
        <v>61</v>
      </c>
      <c r="E64" t="s">
        <v>44</v>
      </c>
      <c r="F64" t="s">
        <v>34</v>
      </c>
      <c r="G64" t="s">
        <v>50</v>
      </c>
      <c r="H64" t="s">
        <v>39</v>
      </c>
      <c r="I64" t="s">
        <v>40</v>
      </c>
      <c r="J64">
        <v>5</v>
      </c>
      <c r="K64">
        <v>166.82</v>
      </c>
      <c r="L64">
        <v>0.15</v>
      </c>
      <c r="M64">
        <v>708.98</v>
      </c>
      <c r="N64">
        <v>111.19</v>
      </c>
      <c r="O64" s="2">
        <v>45832</v>
      </c>
      <c r="P64">
        <v>2025</v>
      </c>
      <c r="Q64">
        <v>6</v>
      </c>
      <c r="R64" t="s">
        <v>240</v>
      </c>
      <c r="S64">
        <v>2</v>
      </c>
      <c r="T64">
        <v>4</v>
      </c>
      <c r="U64">
        <v>2</v>
      </c>
      <c r="V64" t="s">
        <v>245</v>
      </c>
    </row>
    <row r="65" spans="1:22" hidden="1" x14ac:dyDescent="0.3">
      <c r="A65" t="s">
        <v>58</v>
      </c>
      <c r="B65" t="s">
        <v>59</v>
      </c>
      <c r="C65" t="s">
        <v>167</v>
      </c>
      <c r="D65" t="s">
        <v>33</v>
      </c>
      <c r="E65" t="s">
        <v>70</v>
      </c>
      <c r="F65" t="s">
        <v>34</v>
      </c>
      <c r="G65" t="s">
        <v>50</v>
      </c>
      <c r="H65" t="s">
        <v>51</v>
      </c>
      <c r="I65" t="s">
        <v>77</v>
      </c>
      <c r="J65">
        <v>5</v>
      </c>
      <c r="K65">
        <v>151.03</v>
      </c>
      <c r="L65">
        <v>0.03</v>
      </c>
      <c r="M65">
        <v>732.5</v>
      </c>
      <c r="N65">
        <v>142.26</v>
      </c>
      <c r="O65" s="2">
        <v>45849</v>
      </c>
      <c r="P65">
        <v>2025</v>
      </c>
      <c r="Q65">
        <v>7</v>
      </c>
      <c r="R65" t="s">
        <v>244</v>
      </c>
      <c r="S65">
        <v>3</v>
      </c>
      <c r="T65">
        <v>2</v>
      </c>
      <c r="U65">
        <v>5</v>
      </c>
      <c r="V65" t="s">
        <v>233</v>
      </c>
    </row>
    <row r="66" spans="1:22" hidden="1" x14ac:dyDescent="0.3">
      <c r="A66" t="s">
        <v>90</v>
      </c>
      <c r="B66" t="s">
        <v>91</v>
      </c>
      <c r="C66" t="s">
        <v>168</v>
      </c>
      <c r="D66" t="s">
        <v>33</v>
      </c>
      <c r="E66" t="s">
        <v>19</v>
      </c>
      <c r="F66" t="s">
        <v>34</v>
      </c>
      <c r="G66" t="s">
        <v>56</v>
      </c>
      <c r="H66" t="s">
        <v>51</v>
      </c>
      <c r="I66" t="s">
        <v>77</v>
      </c>
      <c r="J66">
        <v>5</v>
      </c>
      <c r="K66">
        <v>130.38</v>
      </c>
      <c r="L66">
        <v>0.04</v>
      </c>
      <c r="M66">
        <v>625.82000000000005</v>
      </c>
      <c r="N66">
        <v>130.44999999999999</v>
      </c>
      <c r="O66" s="2">
        <v>45704</v>
      </c>
      <c r="P66">
        <v>2025</v>
      </c>
      <c r="Q66">
        <v>2</v>
      </c>
      <c r="R66" t="s">
        <v>248</v>
      </c>
      <c r="S66">
        <v>1</v>
      </c>
      <c r="T66">
        <v>4</v>
      </c>
      <c r="U66">
        <v>0</v>
      </c>
      <c r="V66" t="s">
        <v>237</v>
      </c>
    </row>
    <row r="67" spans="1:22" hidden="1" x14ac:dyDescent="0.3">
      <c r="A67" t="s">
        <v>90</v>
      </c>
      <c r="B67" t="s">
        <v>91</v>
      </c>
      <c r="C67" t="s">
        <v>170</v>
      </c>
      <c r="D67" t="s">
        <v>33</v>
      </c>
      <c r="E67" t="s">
        <v>19</v>
      </c>
      <c r="F67" t="s">
        <v>20</v>
      </c>
      <c r="G67" t="s">
        <v>27</v>
      </c>
      <c r="H67" t="s">
        <v>22</v>
      </c>
      <c r="I67" t="s">
        <v>35</v>
      </c>
      <c r="J67">
        <v>1</v>
      </c>
      <c r="K67">
        <v>362.62</v>
      </c>
      <c r="L67">
        <v>0.22</v>
      </c>
      <c r="M67">
        <v>282.83999999999997</v>
      </c>
      <c r="N67">
        <v>83.53</v>
      </c>
      <c r="O67" s="2">
        <v>45665</v>
      </c>
      <c r="P67">
        <v>2025</v>
      </c>
      <c r="Q67">
        <v>1</v>
      </c>
      <c r="R67" t="s">
        <v>238</v>
      </c>
      <c r="S67">
        <v>1</v>
      </c>
      <c r="T67">
        <v>2</v>
      </c>
      <c r="U67">
        <v>3</v>
      </c>
      <c r="V67" t="s">
        <v>242</v>
      </c>
    </row>
    <row r="68" spans="1:22" hidden="1" x14ac:dyDescent="0.3">
      <c r="A68" t="s">
        <v>109</v>
      </c>
      <c r="B68" t="s">
        <v>110</v>
      </c>
      <c r="C68" t="s">
        <v>171</v>
      </c>
      <c r="D68" t="s">
        <v>38</v>
      </c>
      <c r="E68" t="s">
        <v>70</v>
      </c>
      <c r="F68" t="s">
        <v>34</v>
      </c>
      <c r="G68" t="s">
        <v>50</v>
      </c>
      <c r="H68" t="s">
        <v>28</v>
      </c>
      <c r="I68" t="s">
        <v>93</v>
      </c>
      <c r="J68">
        <v>10</v>
      </c>
      <c r="K68">
        <v>364.84</v>
      </c>
      <c r="L68">
        <v>0.14000000000000001</v>
      </c>
      <c r="M68">
        <v>3137.62</v>
      </c>
      <c r="N68">
        <v>579.44000000000005</v>
      </c>
      <c r="O68" s="2">
        <v>45773</v>
      </c>
      <c r="P68">
        <v>2025</v>
      </c>
      <c r="Q68">
        <v>4</v>
      </c>
      <c r="R68" t="s">
        <v>243</v>
      </c>
      <c r="S68">
        <v>2</v>
      </c>
      <c r="T68">
        <v>4</v>
      </c>
      <c r="U68">
        <v>6</v>
      </c>
      <c r="V68" t="s">
        <v>239</v>
      </c>
    </row>
    <row r="69" spans="1:22" x14ac:dyDescent="0.3">
      <c r="A69" t="s">
        <v>41</v>
      </c>
      <c r="B69" t="s">
        <v>42</v>
      </c>
      <c r="C69" t="s">
        <v>173</v>
      </c>
      <c r="D69" t="s">
        <v>83</v>
      </c>
      <c r="E69" t="s">
        <v>44</v>
      </c>
      <c r="F69" t="s">
        <v>34</v>
      </c>
      <c r="G69" t="s">
        <v>21</v>
      </c>
      <c r="H69" t="s">
        <v>28</v>
      </c>
      <c r="I69" t="s">
        <v>45</v>
      </c>
      <c r="J69">
        <v>4</v>
      </c>
      <c r="K69">
        <v>28.76</v>
      </c>
      <c r="L69">
        <v>0.09</v>
      </c>
      <c r="M69">
        <v>104.69</v>
      </c>
      <c r="N69">
        <v>23.53</v>
      </c>
      <c r="O69" s="2">
        <v>45719</v>
      </c>
      <c r="P69">
        <v>2025</v>
      </c>
      <c r="Q69">
        <v>3</v>
      </c>
      <c r="R69" t="s">
        <v>236</v>
      </c>
      <c r="S69">
        <v>1</v>
      </c>
      <c r="T69">
        <v>2</v>
      </c>
      <c r="U69">
        <v>1</v>
      </c>
      <c r="V69" t="s">
        <v>234</v>
      </c>
    </row>
    <row r="70" spans="1:22" hidden="1" x14ac:dyDescent="0.3">
      <c r="A70" t="s">
        <v>109</v>
      </c>
      <c r="B70" t="s">
        <v>110</v>
      </c>
      <c r="C70" t="s">
        <v>174</v>
      </c>
      <c r="D70" t="s">
        <v>18</v>
      </c>
      <c r="E70" t="s">
        <v>70</v>
      </c>
      <c r="F70" t="s">
        <v>20</v>
      </c>
      <c r="G70" t="s">
        <v>50</v>
      </c>
      <c r="H70" t="s">
        <v>51</v>
      </c>
      <c r="I70" t="s">
        <v>77</v>
      </c>
      <c r="J70">
        <v>3</v>
      </c>
      <c r="K70">
        <v>293.38</v>
      </c>
      <c r="L70">
        <v>0.14000000000000001</v>
      </c>
      <c r="M70">
        <v>756.92</v>
      </c>
      <c r="N70">
        <v>99.43</v>
      </c>
      <c r="O70" s="2">
        <v>45644</v>
      </c>
      <c r="P70">
        <v>2024</v>
      </c>
      <c r="Q70">
        <v>12</v>
      </c>
      <c r="R70" t="s">
        <v>247</v>
      </c>
      <c r="S70">
        <v>4</v>
      </c>
      <c r="T70">
        <v>3</v>
      </c>
      <c r="U70">
        <v>3</v>
      </c>
      <c r="V70" t="s">
        <v>242</v>
      </c>
    </row>
    <row r="71" spans="1:22" hidden="1" x14ac:dyDescent="0.3">
      <c r="A71" t="s">
        <v>58</v>
      </c>
      <c r="B71" t="s">
        <v>59</v>
      </c>
      <c r="C71" t="s">
        <v>176</v>
      </c>
      <c r="D71" t="s">
        <v>65</v>
      </c>
      <c r="E71" t="s">
        <v>19</v>
      </c>
      <c r="F71" t="s">
        <v>20</v>
      </c>
      <c r="G71" t="s">
        <v>56</v>
      </c>
      <c r="H71" t="s">
        <v>22</v>
      </c>
      <c r="I71" t="s">
        <v>35</v>
      </c>
      <c r="J71">
        <v>4</v>
      </c>
      <c r="K71">
        <v>342</v>
      </c>
      <c r="L71">
        <v>0.25</v>
      </c>
      <c r="M71">
        <v>1026</v>
      </c>
      <c r="N71">
        <v>252.36</v>
      </c>
      <c r="O71" s="2">
        <v>45992</v>
      </c>
      <c r="P71">
        <v>2025</v>
      </c>
      <c r="Q71">
        <v>12</v>
      </c>
      <c r="R71" t="s">
        <v>247</v>
      </c>
      <c r="S71">
        <v>4</v>
      </c>
      <c r="T71">
        <v>1</v>
      </c>
      <c r="U71">
        <v>1</v>
      </c>
      <c r="V71" t="s">
        <v>234</v>
      </c>
    </row>
    <row r="72" spans="1:22" hidden="1" x14ac:dyDescent="0.3">
      <c r="A72" t="s">
        <v>41</v>
      </c>
      <c r="B72" t="s">
        <v>42</v>
      </c>
      <c r="C72" t="s">
        <v>177</v>
      </c>
      <c r="D72" t="s">
        <v>65</v>
      </c>
      <c r="E72" t="s">
        <v>26</v>
      </c>
      <c r="F72" t="s">
        <v>20</v>
      </c>
      <c r="G72" t="s">
        <v>50</v>
      </c>
      <c r="H72" t="s">
        <v>51</v>
      </c>
      <c r="I72" t="s">
        <v>57</v>
      </c>
      <c r="J72">
        <v>8</v>
      </c>
      <c r="K72">
        <v>312.98</v>
      </c>
      <c r="L72">
        <v>0.21</v>
      </c>
      <c r="M72">
        <v>1978.03</v>
      </c>
      <c r="N72">
        <v>374.38</v>
      </c>
      <c r="O72" s="2">
        <v>45830</v>
      </c>
      <c r="P72">
        <v>2025</v>
      </c>
      <c r="Q72">
        <v>6</v>
      </c>
      <c r="R72" t="s">
        <v>240</v>
      </c>
      <c r="S72">
        <v>2</v>
      </c>
      <c r="T72">
        <v>4</v>
      </c>
      <c r="U72">
        <v>0</v>
      </c>
      <c r="V72" t="s">
        <v>237</v>
      </c>
    </row>
    <row r="73" spans="1:22" hidden="1" x14ac:dyDescent="0.3">
      <c r="A73" t="s">
        <v>58</v>
      </c>
      <c r="B73" t="s">
        <v>59</v>
      </c>
      <c r="C73" t="s">
        <v>179</v>
      </c>
      <c r="D73" t="s">
        <v>18</v>
      </c>
      <c r="E73" t="s">
        <v>19</v>
      </c>
      <c r="F73" t="s">
        <v>34</v>
      </c>
      <c r="G73" t="s">
        <v>56</v>
      </c>
      <c r="H73" t="s">
        <v>51</v>
      </c>
      <c r="I73" t="s">
        <v>112</v>
      </c>
      <c r="J73">
        <v>10</v>
      </c>
      <c r="K73">
        <v>250.57</v>
      </c>
      <c r="L73">
        <v>0.3</v>
      </c>
      <c r="M73">
        <v>1753.99</v>
      </c>
      <c r="N73">
        <v>377.13</v>
      </c>
      <c r="O73" s="2">
        <v>45862</v>
      </c>
      <c r="P73">
        <v>2025</v>
      </c>
      <c r="Q73">
        <v>7</v>
      </c>
      <c r="R73" t="s">
        <v>244</v>
      </c>
      <c r="S73">
        <v>3</v>
      </c>
      <c r="T73">
        <v>4</v>
      </c>
      <c r="U73">
        <v>4</v>
      </c>
      <c r="V73" t="s">
        <v>231</v>
      </c>
    </row>
    <row r="74" spans="1:22" x14ac:dyDescent="0.3">
      <c r="A74" t="s">
        <v>109</v>
      </c>
      <c r="B74" t="s">
        <v>110</v>
      </c>
      <c r="C74" t="s">
        <v>181</v>
      </c>
      <c r="D74" t="s">
        <v>33</v>
      </c>
      <c r="E74" t="s">
        <v>26</v>
      </c>
      <c r="F74" t="s">
        <v>34</v>
      </c>
      <c r="G74" t="s">
        <v>21</v>
      </c>
      <c r="H74" t="s">
        <v>22</v>
      </c>
      <c r="I74" t="s">
        <v>23</v>
      </c>
      <c r="J74">
        <v>3</v>
      </c>
      <c r="K74">
        <v>266.05</v>
      </c>
      <c r="L74">
        <v>0.21</v>
      </c>
      <c r="M74">
        <v>630.54</v>
      </c>
      <c r="N74">
        <v>88.64</v>
      </c>
      <c r="O74" s="2">
        <v>45809</v>
      </c>
      <c r="P74">
        <v>2025</v>
      </c>
      <c r="Q74">
        <v>6</v>
      </c>
      <c r="R74" t="s">
        <v>240</v>
      </c>
      <c r="S74">
        <v>2</v>
      </c>
      <c r="T74">
        <v>1</v>
      </c>
      <c r="U74">
        <v>0</v>
      </c>
      <c r="V74" t="s">
        <v>237</v>
      </c>
    </row>
    <row r="75" spans="1:22" hidden="1" x14ac:dyDescent="0.3">
      <c r="A75" t="s">
        <v>46</v>
      </c>
      <c r="B75" t="s">
        <v>47</v>
      </c>
      <c r="C75" t="s">
        <v>182</v>
      </c>
      <c r="D75" t="s">
        <v>18</v>
      </c>
      <c r="E75" t="s">
        <v>44</v>
      </c>
      <c r="F75" t="s">
        <v>34</v>
      </c>
      <c r="G75" t="s">
        <v>27</v>
      </c>
      <c r="H75" t="s">
        <v>28</v>
      </c>
      <c r="I75" t="s">
        <v>29</v>
      </c>
      <c r="J75">
        <v>2</v>
      </c>
      <c r="K75">
        <v>130.13</v>
      </c>
      <c r="L75">
        <v>0.23</v>
      </c>
      <c r="M75">
        <v>200.4</v>
      </c>
      <c r="N75">
        <v>23.16</v>
      </c>
      <c r="O75" s="2">
        <v>45907</v>
      </c>
      <c r="P75">
        <v>2025</v>
      </c>
      <c r="Q75">
        <v>9</v>
      </c>
      <c r="R75" t="s">
        <v>246</v>
      </c>
      <c r="S75">
        <v>3</v>
      </c>
      <c r="T75">
        <v>2</v>
      </c>
      <c r="U75">
        <v>0</v>
      </c>
      <c r="V75" t="s">
        <v>237</v>
      </c>
    </row>
    <row r="76" spans="1:22" hidden="1" x14ac:dyDescent="0.3">
      <c r="A76" t="s">
        <v>46</v>
      </c>
      <c r="B76" t="s">
        <v>47</v>
      </c>
      <c r="C76" t="s">
        <v>183</v>
      </c>
      <c r="D76" t="s">
        <v>61</v>
      </c>
      <c r="E76" t="s">
        <v>70</v>
      </c>
      <c r="F76" t="s">
        <v>34</v>
      </c>
      <c r="G76" t="s">
        <v>27</v>
      </c>
      <c r="H76" t="s">
        <v>51</v>
      </c>
      <c r="I76" t="s">
        <v>112</v>
      </c>
      <c r="J76">
        <v>10</v>
      </c>
      <c r="K76">
        <v>343.26</v>
      </c>
      <c r="L76">
        <v>0.21</v>
      </c>
      <c r="M76">
        <v>2711.75</v>
      </c>
      <c r="N76">
        <v>796.03</v>
      </c>
      <c r="O76" s="2">
        <v>45736</v>
      </c>
      <c r="P76">
        <v>2025</v>
      </c>
      <c r="Q76">
        <v>3</v>
      </c>
      <c r="R76" t="s">
        <v>236</v>
      </c>
      <c r="S76">
        <v>1</v>
      </c>
      <c r="T76">
        <v>4</v>
      </c>
      <c r="U76">
        <v>4</v>
      </c>
      <c r="V76" t="s">
        <v>231</v>
      </c>
    </row>
    <row r="77" spans="1:22" hidden="1" x14ac:dyDescent="0.3">
      <c r="A77" t="s">
        <v>79</v>
      </c>
      <c r="B77" t="s">
        <v>80</v>
      </c>
      <c r="C77" t="s">
        <v>185</v>
      </c>
      <c r="D77" t="s">
        <v>136</v>
      </c>
      <c r="E77" t="s">
        <v>44</v>
      </c>
      <c r="F77" t="s">
        <v>20</v>
      </c>
      <c r="G77" t="s">
        <v>56</v>
      </c>
      <c r="H77" t="s">
        <v>28</v>
      </c>
      <c r="I77" t="s">
        <v>45</v>
      </c>
      <c r="J77">
        <v>3</v>
      </c>
      <c r="K77">
        <v>67.25</v>
      </c>
      <c r="L77">
        <v>0.19</v>
      </c>
      <c r="M77">
        <v>163.41999999999999</v>
      </c>
      <c r="N77">
        <v>20.47</v>
      </c>
      <c r="O77" s="2">
        <v>45677</v>
      </c>
      <c r="P77">
        <v>2025</v>
      </c>
      <c r="Q77">
        <v>1</v>
      </c>
      <c r="R77" t="s">
        <v>238</v>
      </c>
      <c r="S77">
        <v>1</v>
      </c>
      <c r="T77">
        <v>4</v>
      </c>
      <c r="U77">
        <v>1</v>
      </c>
      <c r="V77" t="s">
        <v>234</v>
      </c>
    </row>
    <row r="78" spans="1:22" x14ac:dyDescent="0.3">
      <c r="A78" t="s">
        <v>53</v>
      </c>
      <c r="B78" t="s">
        <v>54</v>
      </c>
      <c r="C78" t="s">
        <v>187</v>
      </c>
      <c r="D78" t="s">
        <v>83</v>
      </c>
      <c r="E78" t="s">
        <v>44</v>
      </c>
      <c r="F78" t="s">
        <v>34</v>
      </c>
      <c r="G78" t="s">
        <v>21</v>
      </c>
      <c r="H78" t="s">
        <v>28</v>
      </c>
      <c r="I78" t="s">
        <v>29</v>
      </c>
      <c r="J78">
        <v>1</v>
      </c>
      <c r="K78">
        <v>351.48</v>
      </c>
      <c r="L78">
        <v>0.03</v>
      </c>
      <c r="M78">
        <v>340.94</v>
      </c>
      <c r="N78">
        <v>81.02</v>
      </c>
      <c r="O78" s="2">
        <v>45684</v>
      </c>
      <c r="P78">
        <v>2025</v>
      </c>
      <c r="Q78">
        <v>1</v>
      </c>
      <c r="R78" t="s">
        <v>238</v>
      </c>
      <c r="S78">
        <v>1</v>
      </c>
      <c r="T78">
        <v>5</v>
      </c>
      <c r="U78">
        <v>1</v>
      </c>
      <c r="V78" t="s">
        <v>234</v>
      </c>
    </row>
    <row r="79" spans="1:22" hidden="1" x14ac:dyDescent="0.3">
      <c r="A79" t="s">
        <v>62</v>
      </c>
      <c r="B79" t="s">
        <v>63</v>
      </c>
      <c r="C79" t="s">
        <v>189</v>
      </c>
      <c r="D79" t="s">
        <v>69</v>
      </c>
      <c r="E79" t="s">
        <v>26</v>
      </c>
      <c r="F79" t="s">
        <v>34</v>
      </c>
      <c r="G79" t="s">
        <v>56</v>
      </c>
      <c r="H79" t="s">
        <v>39</v>
      </c>
      <c r="I79" t="s">
        <v>86</v>
      </c>
      <c r="J79">
        <v>6</v>
      </c>
      <c r="K79">
        <v>132.19999999999999</v>
      </c>
      <c r="L79">
        <v>0.3</v>
      </c>
      <c r="M79">
        <v>555.24</v>
      </c>
      <c r="N79">
        <v>139.47</v>
      </c>
      <c r="O79" s="2">
        <v>45706</v>
      </c>
      <c r="P79">
        <v>2025</v>
      </c>
      <c r="Q79">
        <v>2</v>
      </c>
      <c r="R79" t="s">
        <v>248</v>
      </c>
      <c r="S79">
        <v>1</v>
      </c>
      <c r="T79">
        <v>4</v>
      </c>
      <c r="U79">
        <v>2</v>
      </c>
      <c r="V79" t="s">
        <v>245</v>
      </c>
    </row>
    <row r="80" spans="1:22" hidden="1" x14ac:dyDescent="0.3">
      <c r="A80" t="s">
        <v>109</v>
      </c>
      <c r="B80" t="s">
        <v>110</v>
      </c>
      <c r="C80" t="s">
        <v>191</v>
      </c>
      <c r="D80" t="s">
        <v>107</v>
      </c>
      <c r="E80" t="s">
        <v>19</v>
      </c>
      <c r="F80" t="s">
        <v>34</v>
      </c>
      <c r="G80" t="s">
        <v>56</v>
      </c>
      <c r="H80" t="s">
        <v>22</v>
      </c>
      <c r="I80" t="s">
        <v>23</v>
      </c>
      <c r="J80">
        <v>1</v>
      </c>
      <c r="K80">
        <v>142.74</v>
      </c>
      <c r="L80">
        <v>0.27</v>
      </c>
      <c r="M80">
        <v>104.2</v>
      </c>
      <c r="N80">
        <v>22.74</v>
      </c>
      <c r="O80" s="2">
        <v>45902</v>
      </c>
      <c r="P80">
        <v>2025</v>
      </c>
      <c r="Q80">
        <v>9</v>
      </c>
      <c r="R80" t="s">
        <v>246</v>
      </c>
      <c r="S80">
        <v>3</v>
      </c>
      <c r="T80">
        <v>1</v>
      </c>
      <c r="U80">
        <v>2</v>
      </c>
      <c r="V80" t="s">
        <v>245</v>
      </c>
    </row>
    <row r="81" spans="1:22" hidden="1" x14ac:dyDescent="0.3">
      <c r="A81" t="s">
        <v>53</v>
      </c>
      <c r="B81" t="s">
        <v>54</v>
      </c>
      <c r="C81" t="s">
        <v>192</v>
      </c>
      <c r="D81" t="s">
        <v>83</v>
      </c>
      <c r="E81" t="s">
        <v>70</v>
      </c>
      <c r="F81" t="s">
        <v>20</v>
      </c>
      <c r="G81" t="s">
        <v>27</v>
      </c>
      <c r="H81" t="s">
        <v>39</v>
      </c>
      <c r="I81" t="s">
        <v>40</v>
      </c>
      <c r="J81">
        <v>10</v>
      </c>
      <c r="K81">
        <v>102.28</v>
      </c>
      <c r="L81">
        <v>0.09</v>
      </c>
      <c r="M81">
        <v>930.75</v>
      </c>
      <c r="N81">
        <v>279.14999999999998</v>
      </c>
      <c r="O81" s="2">
        <v>45718</v>
      </c>
      <c r="P81">
        <v>2025</v>
      </c>
      <c r="Q81">
        <v>3</v>
      </c>
      <c r="R81" t="s">
        <v>236</v>
      </c>
      <c r="S81">
        <v>1</v>
      </c>
      <c r="T81">
        <v>2</v>
      </c>
      <c r="U81">
        <v>0</v>
      </c>
      <c r="V81" t="s">
        <v>237</v>
      </c>
    </row>
    <row r="82" spans="1:22" hidden="1" x14ac:dyDescent="0.3">
      <c r="A82" t="s">
        <v>62</v>
      </c>
      <c r="B82" t="s">
        <v>63</v>
      </c>
      <c r="C82" t="s">
        <v>193</v>
      </c>
      <c r="D82" t="s">
        <v>49</v>
      </c>
      <c r="E82" t="s">
        <v>19</v>
      </c>
      <c r="F82" t="s">
        <v>34</v>
      </c>
      <c r="G82" t="s">
        <v>56</v>
      </c>
      <c r="H82" t="s">
        <v>22</v>
      </c>
      <c r="I82" t="s">
        <v>35</v>
      </c>
      <c r="J82">
        <v>1</v>
      </c>
      <c r="K82">
        <v>348.21</v>
      </c>
      <c r="L82">
        <v>0.09</v>
      </c>
      <c r="M82">
        <v>316.87</v>
      </c>
      <c r="N82">
        <v>87.09</v>
      </c>
      <c r="O82" s="2">
        <v>45886</v>
      </c>
      <c r="P82">
        <v>2025</v>
      </c>
      <c r="Q82">
        <v>8</v>
      </c>
      <c r="R82" t="s">
        <v>232</v>
      </c>
      <c r="S82">
        <v>3</v>
      </c>
      <c r="T82">
        <v>4</v>
      </c>
      <c r="U82">
        <v>0</v>
      </c>
      <c r="V82" t="s">
        <v>237</v>
      </c>
    </row>
    <row r="83" spans="1:22" hidden="1" x14ac:dyDescent="0.3">
      <c r="A83" t="s">
        <v>79</v>
      </c>
      <c r="B83" t="s">
        <v>80</v>
      </c>
      <c r="C83" t="s">
        <v>195</v>
      </c>
      <c r="D83" t="s">
        <v>136</v>
      </c>
      <c r="E83" t="s">
        <v>26</v>
      </c>
      <c r="F83" t="s">
        <v>34</v>
      </c>
      <c r="G83" t="s">
        <v>50</v>
      </c>
      <c r="H83" t="s">
        <v>51</v>
      </c>
      <c r="I83" t="s">
        <v>52</v>
      </c>
      <c r="J83">
        <v>2</v>
      </c>
      <c r="K83">
        <v>417.25</v>
      </c>
      <c r="L83">
        <v>0.19</v>
      </c>
      <c r="M83">
        <v>675.95</v>
      </c>
      <c r="N83">
        <v>183.48</v>
      </c>
      <c r="O83" s="2">
        <v>45750</v>
      </c>
      <c r="P83">
        <v>2025</v>
      </c>
      <c r="Q83">
        <v>4</v>
      </c>
      <c r="R83" t="s">
        <v>243</v>
      </c>
      <c r="S83">
        <v>2</v>
      </c>
      <c r="T83">
        <v>1</v>
      </c>
      <c r="U83">
        <v>4</v>
      </c>
      <c r="V83" t="s">
        <v>231</v>
      </c>
    </row>
    <row r="84" spans="1:22" hidden="1" x14ac:dyDescent="0.3">
      <c r="A84" t="s">
        <v>53</v>
      </c>
      <c r="B84" t="s">
        <v>54</v>
      </c>
      <c r="C84" t="s">
        <v>196</v>
      </c>
      <c r="D84" t="s">
        <v>33</v>
      </c>
      <c r="E84" t="s">
        <v>19</v>
      </c>
      <c r="F84" t="s">
        <v>34</v>
      </c>
      <c r="G84" t="s">
        <v>27</v>
      </c>
      <c r="H84" t="s">
        <v>22</v>
      </c>
      <c r="I84" t="s">
        <v>23</v>
      </c>
      <c r="J84">
        <v>7</v>
      </c>
      <c r="K84">
        <v>247.81</v>
      </c>
      <c r="L84">
        <v>0.23</v>
      </c>
      <c r="M84">
        <v>1335.7</v>
      </c>
      <c r="N84">
        <v>284.83999999999997</v>
      </c>
      <c r="O84" s="2">
        <v>45796</v>
      </c>
      <c r="P84">
        <v>2025</v>
      </c>
      <c r="Q84">
        <v>5</v>
      </c>
      <c r="R84" t="s">
        <v>235</v>
      </c>
      <c r="S84">
        <v>2</v>
      </c>
      <c r="T84">
        <v>4</v>
      </c>
      <c r="U84">
        <v>1</v>
      </c>
      <c r="V84" t="s">
        <v>234</v>
      </c>
    </row>
    <row r="85" spans="1:22" hidden="1" x14ac:dyDescent="0.3">
      <c r="A85" t="s">
        <v>109</v>
      </c>
      <c r="B85" t="s">
        <v>110</v>
      </c>
      <c r="C85" t="s">
        <v>198</v>
      </c>
      <c r="D85" t="s">
        <v>33</v>
      </c>
      <c r="E85" t="s">
        <v>70</v>
      </c>
      <c r="F85" t="s">
        <v>20</v>
      </c>
      <c r="G85" t="s">
        <v>27</v>
      </c>
      <c r="H85" t="s">
        <v>28</v>
      </c>
      <c r="I85" t="s">
        <v>29</v>
      </c>
      <c r="J85">
        <v>6</v>
      </c>
      <c r="K85">
        <v>355.96</v>
      </c>
      <c r="L85">
        <v>0</v>
      </c>
      <c r="M85">
        <v>2135.7600000000002</v>
      </c>
      <c r="N85">
        <v>636.99</v>
      </c>
      <c r="O85" s="2">
        <v>45864</v>
      </c>
      <c r="P85">
        <v>2025</v>
      </c>
      <c r="Q85">
        <v>7</v>
      </c>
      <c r="R85" t="s">
        <v>244</v>
      </c>
      <c r="S85">
        <v>3</v>
      </c>
      <c r="T85">
        <v>4</v>
      </c>
      <c r="U85">
        <v>6</v>
      </c>
      <c r="V85" t="s">
        <v>239</v>
      </c>
    </row>
    <row r="86" spans="1:22" hidden="1" x14ac:dyDescent="0.3">
      <c r="A86" t="s">
        <v>30</v>
      </c>
      <c r="B86" t="s">
        <v>31</v>
      </c>
      <c r="C86" t="s">
        <v>200</v>
      </c>
      <c r="D86" t="s">
        <v>49</v>
      </c>
      <c r="E86" t="s">
        <v>44</v>
      </c>
      <c r="F86" t="s">
        <v>20</v>
      </c>
      <c r="G86" t="s">
        <v>27</v>
      </c>
      <c r="H86" t="s">
        <v>51</v>
      </c>
      <c r="I86" t="s">
        <v>112</v>
      </c>
      <c r="J86">
        <v>5</v>
      </c>
      <c r="K86">
        <v>444.48</v>
      </c>
      <c r="L86">
        <v>0.06</v>
      </c>
      <c r="M86">
        <v>2089.06</v>
      </c>
      <c r="N86">
        <v>306.97000000000003</v>
      </c>
      <c r="O86" s="2">
        <v>45957</v>
      </c>
      <c r="P86">
        <v>2025</v>
      </c>
      <c r="Q86">
        <v>10</v>
      </c>
      <c r="R86" t="s">
        <v>230</v>
      </c>
      <c r="S86">
        <v>4</v>
      </c>
      <c r="T86">
        <v>5</v>
      </c>
      <c r="U86">
        <v>1</v>
      </c>
      <c r="V86" t="s">
        <v>234</v>
      </c>
    </row>
    <row r="87" spans="1:22" hidden="1" x14ac:dyDescent="0.3">
      <c r="A87" t="s">
        <v>41</v>
      </c>
      <c r="B87" t="s">
        <v>42</v>
      </c>
      <c r="C87" t="s">
        <v>202</v>
      </c>
      <c r="D87" t="s">
        <v>136</v>
      </c>
      <c r="E87" t="s">
        <v>26</v>
      </c>
      <c r="F87" t="s">
        <v>34</v>
      </c>
      <c r="G87" t="s">
        <v>56</v>
      </c>
      <c r="H87" t="s">
        <v>22</v>
      </c>
      <c r="I87" t="s">
        <v>35</v>
      </c>
      <c r="J87">
        <v>8</v>
      </c>
      <c r="K87">
        <v>459.91</v>
      </c>
      <c r="L87">
        <v>0.28999999999999998</v>
      </c>
      <c r="M87">
        <v>2612.29</v>
      </c>
      <c r="N87">
        <v>747.09</v>
      </c>
      <c r="O87" s="2">
        <v>45974</v>
      </c>
      <c r="P87">
        <v>2025</v>
      </c>
      <c r="Q87">
        <v>11</v>
      </c>
      <c r="R87" t="s">
        <v>241</v>
      </c>
      <c r="S87">
        <v>4</v>
      </c>
      <c r="T87">
        <v>3</v>
      </c>
      <c r="U87">
        <v>4</v>
      </c>
      <c r="V87" t="s">
        <v>231</v>
      </c>
    </row>
    <row r="88" spans="1:22" hidden="1" x14ac:dyDescent="0.3">
      <c r="A88" t="s">
        <v>109</v>
      </c>
      <c r="B88" t="s">
        <v>110</v>
      </c>
      <c r="C88" t="s">
        <v>204</v>
      </c>
      <c r="D88" t="s">
        <v>49</v>
      </c>
      <c r="E88" t="s">
        <v>44</v>
      </c>
      <c r="F88" t="s">
        <v>34</v>
      </c>
      <c r="G88" t="s">
        <v>56</v>
      </c>
      <c r="H88" t="s">
        <v>22</v>
      </c>
      <c r="I88" t="s">
        <v>116</v>
      </c>
      <c r="J88">
        <v>4</v>
      </c>
      <c r="K88">
        <v>321.24</v>
      </c>
      <c r="L88">
        <v>0.19</v>
      </c>
      <c r="M88">
        <v>1040.82</v>
      </c>
      <c r="N88">
        <v>162.61000000000001</v>
      </c>
      <c r="O88" s="2">
        <v>45999</v>
      </c>
      <c r="P88">
        <v>2025</v>
      </c>
      <c r="Q88">
        <v>12</v>
      </c>
      <c r="R88" t="s">
        <v>247</v>
      </c>
      <c r="S88">
        <v>4</v>
      </c>
      <c r="T88">
        <v>2</v>
      </c>
      <c r="U88">
        <v>1</v>
      </c>
      <c r="V88" t="s">
        <v>234</v>
      </c>
    </row>
    <row r="89" spans="1:22" x14ac:dyDescent="0.3">
      <c r="A89" t="s">
        <v>41</v>
      </c>
      <c r="B89" t="s">
        <v>42</v>
      </c>
      <c r="C89" t="s">
        <v>205</v>
      </c>
      <c r="D89" t="s">
        <v>83</v>
      </c>
      <c r="E89" t="s">
        <v>44</v>
      </c>
      <c r="F89" t="s">
        <v>20</v>
      </c>
      <c r="G89" t="s">
        <v>21</v>
      </c>
      <c r="H89" t="s">
        <v>22</v>
      </c>
      <c r="I89" t="s">
        <v>148</v>
      </c>
      <c r="J89">
        <v>7</v>
      </c>
      <c r="K89">
        <v>358.49</v>
      </c>
      <c r="L89">
        <v>0.19</v>
      </c>
      <c r="M89">
        <v>2032.64</v>
      </c>
      <c r="N89">
        <v>428.22</v>
      </c>
      <c r="O89" s="2">
        <v>45840</v>
      </c>
      <c r="P89">
        <v>2025</v>
      </c>
      <c r="Q89">
        <v>7</v>
      </c>
      <c r="R89" t="s">
        <v>244</v>
      </c>
      <c r="S89">
        <v>3</v>
      </c>
      <c r="T89">
        <v>1</v>
      </c>
      <c r="U89">
        <v>3</v>
      </c>
      <c r="V89" t="s">
        <v>242</v>
      </c>
    </row>
    <row r="90" spans="1:22" x14ac:dyDescent="0.3">
      <c r="A90" t="s">
        <v>53</v>
      </c>
      <c r="B90" t="s">
        <v>54</v>
      </c>
      <c r="C90" t="s">
        <v>206</v>
      </c>
      <c r="D90" t="s">
        <v>69</v>
      </c>
      <c r="E90" t="s">
        <v>44</v>
      </c>
      <c r="F90" t="s">
        <v>34</v>
      </c>
      <c r="G90" t="s">
        <v>21</v>
      </c>
      <c r="H90" t="s">
        <v>22</v>
      </c>
      <c r="I90" t="s">
        <v>35</v>
      </c>
      <c r="J90">
        <v>3</v>
      </c>
      <c r="K90">
        <v>20.76</v>
      </c>
      <c r="L90">
        <v>0.09</v>
      </c>
      <c r="M90">
        <v>56.67</v>
      </c>
      <c r="N90">
        <v>11.7</v>
      </c>
      <c r="O90" s="2">
        <v>45723</v>
      </c>
      <c r="P90">
        <v>2025</v>
      </c>
      <c r="Q90">
        <v>3</v>
      </c>
      <c r="R90" t="s">
        <v>236</v>
      </c>
      <c r="S90">
        <v>1</v>
      </c>
      <c r="T90">
        <v>2</v>
      </c>
      <c r="U90">
        <v>5</v>
      </c>
      <c r="V90" t="s">
        <v>233</v>
      </c>
    </row>
    <row r="91" spans="1:22" hidden="1" x14ac:dyDescent="0.3">
      <c r="A91" t="s">
        <v>53</v>
      </c>
      <c r="B91" t="s">
        <v>54</v>
      </c>
      <c r="C91" t="s">
        <v>207</v>
      </c>
      <c r="D91" t="s">
        <v>38</v>
      </c>
      <c r="E91" t="s">
        <v>70</v>
      </c>
      <c r="F91" t="s">
        <v>20</v>
      </c>
      <c r="G91" t="s">
        <v>56</v>
      </c>
      <c r="H91" t="s">
        <v>22</v>
      </c>
      <c r="I91" t="s">
        <v>148</v>
      </c>
      <c r="J91">
        <v>3</v>
      </c>
      <c r="K91">
        <v>232.01</v>
      </c>
      <c r="L91">
        <v>0.06</v>
      </c>
      <c r="M91">
        <v>654.27</v>
      </c>
      <c r="N91">
        <v>84.47</v>
      </c>
      <c r="O91" s="2">
        <v>45669</v>
      </c>
      <c r="P91">
        <v>2025</v>
      </c>
      <c r="Q91">
        <v>1</v>
      </c>
      <c r="R91" t="s">
        <v>238</v>
      </c>
      <c r="S91">
        <v>1</v>
      </c>
      <c r="T91">
        <v>3</v>
      </c>
      <c r="U91">
        <v>0</v>
      </c>
      <c r="V91" t="s">
        <v>237</v>
      </c>
    </row>
    <row r="92" spans="1:22" hidden="1" x14ac:dyDescent="0.3">
      <c r="A92" t="s">
        <v>79</v>
      </c>
      <c r="B92" t="s">
        <v>80</v>
      </c>
      <c r="C92" t="s">
        <v>208</v>
      </c>
      <c r="D92" t="s">
        <v>61</v>
      </c>
      <c r="E92" t="s">
        <v>70</v>
      </c>
      <c r="F92" t="s">
        <v>20</v>
      </c>
      <c r="G92" t="s">
        <v>50</v>
      </c>
      <c r="H92" t="s">
        <v>51</v>
      </c>
      <c r="I92" t="s">
        <v>112</v>
      </c>
      <c r="J92">
        <v>2</v>
      </c>
      <c r="K92">
        <v>403.62</v>
      </c>
      <c r="L92">
        <v>0.03</v>
      </c>
      <c r="M92">
        <v>783.02</v>
      </c>
      <c r="N92">
        <v>117.3</v>
      </c>
      <c r="O92" s="2">
        <v>45691</v>
      </c>
      <c r="P92">
        <v>2025</v>
      </c>
      <c r="Q92">
        <v>2</v>
      </c>
      <c r="R92" t="s">
        <v>248</v>
      </c>
      <c r="S92">
        <v>1</v>
      </c>
      <c r="T92">
        <v>2</v>
      </c>
      <c r="U92">
        <v>1</v>
      </c>
      <c r="V92" t="s">
        <v>234</v>
      </c>
    </row>
    <row r="93" spans="1:22" hidden="1" x14ac:dyDescent="0.3">
      <c r="A93" t="s">
        <v>41</v>
      </c>
      <c r="B93" t="s">
        <v>42</v>
      </c>
      <c r="C93" t="s">
        <v>209</v>
      </c>
      <c r="D93" t="s">
        <v>18</v>
      </c>
      <c r="E93" t="s">
        <v>26</v>
      </c>
      <c r="F93" t="s">
        <v>20</v>
      </c>
      <c r="G93" t="s">
        <v>27</v>
      </c>
      <c r="H93" t="s">
        <v>22</v>
      </c>
      <c r="I93" t="s">
        <v>116</v>
      </c>
      <c r="J93">
        <v>10</v>
      </c>
      <c r="K93">
        <v>60.24</v>
      </c>
      <c r="L93">
        <v>0.3</v>
      </c>
      <c r="M93">
        <v>421.68</v>
      </c>
      <c r="N93">
        <v>111.83</v>
      </c>
      <c r="O93" s="2">
        <v>45797</v>
      </c>
      <c r="P93">
        <v>2025</v>
      </c>
      <c r="Q93">
        <v>5</v>
      </c>
      <c r="R93" t="s">
        <v>235</v>
      </c>
      <c r="S93">
        <v>2</v>
      </c>
      <c r="T93">
        <v>4</v>
      </c>
      <c r="U93">
        <v>2</v>
      </c>
      <c r="V93" t="s">
        <v>245</v>
      </c>
    </row>
    <row r="94" spans="1:22" x14ac:dyDescent="0.3">
      <c r="A94" t="s">
        <v>58</v>
      </c>
      <c r="B94" t="s">
        <v>59</v>
      </c>
      <c r="C94" t="s">
        <v>211</v>
      </c>
      <c r="D94" t="s">
        <v>38</v>
      </c>
      <c r="E94" t="s">
        <v>19</v>
      </c>
      <c r="F94" t="s">
        <v>20</v>
      </c>
      <c r="G94" t="s">
        <v>21</v>
      </c>
      <c r="H94" t="s">
        <v>28</v>
      </c>
      <c r="I94" t="s">
        <v>29</v>
      </c>
      <c r="J94">
        <v>1</v>
      </c>
      <c r="K94">
        <v>459.81</v>
      </c>
      <c r="L94">
        <v>0.06</v>
      </c>
      <c r="M94">
        <v>432.22</v>
      </c>
      <c r="N94">
        <v>88.33</v>
      </c>
      <c r="O94" s="2">
        <v>45886</v>
      </c>
      <c r="P94">
        <v>2025</v>
      </c>
      <c r="Q94">
        <v>8</v>
      </c>
      <c r="R94" t="s">
        <v>232</v>
      </c>
      <c r="S94">
        <v>3</v>
      </c>
      <c r="T94">
        <v>4</v>
      </c>
      <c r="U94">
        <v>0</v>
      </c>
      <c r="V94" t="s">
        <v>237</v>
      </c>
    </row>
    <row r="95" spans="1:22" hidden="1" x14ac:dyDescent="0.3">
      <c r="A95" t="s">
        <v>58</v>
      </c>
      <c r="B95" t="s">
        <v>59</v>
      </c>
      <c r="C95" t="s">
        <v>212</v>
      </c>
      <c r="D95" t="s">
        <v>61</v>
      </c>
      <c r="E95" t="s">
        <v>19</v>
      </c>
      <c r="F95" t="s">
        <v>34</v>
      </c>
      <c r="G95" t="s">
        <v>50</v>
      </c>
      <c r="H95" t="s">
        <v>22</v>
      </c>
      <c r="I95" t="s">
        <v>116</v>
      </c>
      <c r="J95">
        <v>3</v>
      </c>
      <c r="K95">
        <v>78.42</v>
      </c>
      <c r="L95">
        <v>0.13</v>
      </c>
      <c r="M95">
        <v>204.68</v>
      </c>
      <c r="N95">
        <v>44.46</v>
      </c>
      <c r="O95" s="2">
        <v>45743</v>
      </c>
      <c r="P95">
        <v>2025</v>
      </c>
      <c r="Q95">
        <v>3</v>
      </c>
      <c r="R95" t="s">
        <v>236</v>
      </c>
      <c r="S95">
        <v>1</v>
      </c>
      <c r="T95">
        <v>5</v>
      </c>
      <c r="U95">
        <v>4</v>
      </c>
      <c r="V95" t="s">
        <v>231</v>
      </c>
    </row>
    <row r="96" spans="1:22" hidden="1" x14ac:dyDescent="0.3">
      <c r="A96" t="s">
        <v>90</v>
      </c>
      <c r="B96" t="s">
        <v>91</v>
      </c>
      <c r="C96" t="s">
        <v>214</v>
      </c>
      <c r="D96" t="s">
        <v>33</v>
      </c>
      <c r="E96" t="s">
        <v>26</v>
      </c>
      <c r="F96" t="s">
        <v>34</v>
      </c>
      <c r="G96" t="s">
        <v>50</v>
      </c>
      <c r="H96" t="s">
        <v>22</v>
      </c>
      <c r="I96" t="s">
        <v>148</v>
      </c>
      <c r="J96">
        <v>7</v>
      </c>
      <c r="K96">
        <v>387.66</v>
      </c>
      <c r="L96">
        <v>0.28000000000000003</v>
      </c>
      <c r="M96">
        <v>1953.81</v>
      </c>
      <c r="N96">
        <v>408.28</v>
      </c>
      <c r="O96" s="2">
        <v>45856</v>
      </c>
      <c r="P96">
        <v>2025</v>
      </c>
      <c r="Q96">
        <v>7</v>
      </c>
      <c r="R96" t="s">
        <v>244</v>
      </c>
      <c r="S96">
        <v>3</v>
      </c>
      <c r="T96">
        <v>3</v>
      </c>
      <c r="U96">
        <v>5</v>
      </c>
      <c r="V96" t="s">
        <v>233</v>
      </c>
    </row>
    <row r="97" spans="1:22" x14ac:dyDescent="0.3">
      <c r="A97" t="s">
        <v>53</v>
      </c>
      <c r="B97" t="s">
        <v>54</v>
      </c>
      <c r="C97" t="s">
        <v>216</v>
      </c>
      <c r="D97" t="s">
        <v>33</v>
      </c>
      <c r="E97" t="s">
        <v>70</v>
      </c>
      <c r="F97" t="s">
        <v>34</v>
      </c>
      <c r="G97" t="s">
        <v>21</v>
      </c>
      <c r="H97" t="s">
        <v>51</v>
      </c>
      <c r="I97" t="s">
        <v>52</v>
      </c>
      <c r="J97">
        <v>1</v>
      </c>
      <c r="K97">
        <v>192.53</v>
      </c>
      <c r="L97">
        <v>0.28999999999999998</v>
      </c>
      <c r="M97">
        <v>136.69999999999999</v>
      </c>
      <c r="N97">
        <v>35.43</v>
      </c>
      <c r="O97" s="2">
        <v>45770</v>
      </c>
      <c r="P97">
        <v>2025</v>
      </c>
      <c r="Q97">
        <v>4</v>
      </c>
      <c r="R97" t="s">
        <v>243</v>
      </c>
      <c r="S97">
        <v>2</v>
      </c>
      <c r="T97">
        <v>4</v>
      </c>
      <c r="U97">
        <v>3</v>
      </c>
      <c r="V97" t="s">
        <v>242</v>
      </c>
    </row>
    <row r="98" spans="1:22" x14ac:dyDescent="0.3">
      <c r="A98" t="s">
        <v>30</v>
      </c>
      <c r="B98" t="s">
        <v>31</v>
      </c>
      <c r="C98" t="s">
        <v>218</v>
      </c>
      <c r="D98" t="s">
        <v>61</v>
      </c>
      <c r="E98" t="s">
        <v>19</v>
      </c>
      <c r="F98" t="s">
        <v>20</v>
      </c>
      <c r="G98" t="s">
        <v>21</v>
      </c>
      <c r="H98" t="s">
        <v>39</v>
      </c>
      <c r="I98" t="s">
        <v>118</v>
      </c>
      <c r="J98">
        <v>8</v>
      </c>
      <c r="K98">
        <v>177.48</v>
      </c>
      <c r="L98">
        <v>0.01</v>
      </c>
      <c r="M98">
        <v>1405.64</v>
      </c>
      <c r="N98">
        <v>291.55</v>
      </c>
      <c r="O98" s="2">
        <v>45740</v>
      </c>
      <c r="P98">
        <v>2025</v>
      </c>
      <c r="Q98">
        <v>3</v>
      </c>
      <c r="R98" t="s">
        <v>236</v>
      </c>
      <c r="S98">
        <v>1</v>
      </c>
      <c r="T98">
        <v>5</v>
      </c>
      <c r="U98">
        <v>1</v>
      </c>
      <c r="V98" t="s">
        <v>234</v>
      </c>
    </row>
    <row r="99" spans="1:22" hidden="1" x14ac:dyDescent="0.3">
      <c r="A99" t="s">
        <v>41</v>
      </c>
      <c r="B99" t="s">
        <v>42</v>
      </c>
      <c r="C99" t="s">
        <v>219</v>
      </c>
      <c r="D99" t="s">
        <v>107</v>
      </c>
      <c r="E99" t="s">
        <v>26</v>
      </c>
      <c r="F99" t="s">
        <v>20</v>
      </c>
      <c r="G99" t="s">
        <v>27</v>
      </c>
      <c r="H99" t="s">
        <v>28</v>
      </c>
      <c r="I99" t="s">
        <v>45</v>
      </c>
      <c r="J99">
        <v>10</v>
      </c>
      <c r="K99">
        <v>206.1</v>
      </c>
      <c r="L99">
        <v>0.1</v>
      </c>
      <c r="M99">
        <v>1854.9</v>
      </c>
      <c r="N99">
        <v>368.28</v>
      </c>
      <c r="O99" s="2">
        <v>45660</v>
      </c>
      <c r="P99">
        <v>2025</v>
      </c>
      <c r="Q99">
        <v>1</v>
      </c>
      <c r="R99" t="s">
        <v>238</v>
      </c>
      <c r="S99">
        <v>1</v>
      </c>
      <c r="T99">
        <v>1</v>
      </c>
      <c r="U99">
        <v>5</v>
      </c>
      <c r="V99" t="s">
        <v>233</v>
      </c>
    </row>
    <row r="100" spans="1:22" hidden="1" x14ac:dyDescent="0.3">
      <c r="A100" t="s">
        <v>79</v>
      </c>
      <c r="B100" t="s">
        <v>80</v>
      </c>
      <c r="C100" t="s">
        <v>220</v>
      </c>
      <c r="D100" t="s">
        <v>18</v>
      </c>
      <c r="E100" t="s">
        <v>70</v>
      </c>
      <c r="F100" t="s">
        <v>34</v>
      </c>
      <c r="G100" t="s">
        <v>50</v>
      </c>
      <c r="H100" t="s">
        <v>39</v>
      </c>
      <c r="I100" t="s">
        <v>86</v>
      </c>
      <c r="J100">
        <v>10</v>
      </c>
      <c r="K100">
        <v>229.61</v>
      </c>
      <c r="L100">
        <v>0.2</v>
      </c>
      <c r="M100">
        <v>1836.88</v>
      </c>
      <c r="N100">
        <v>417.41</v>
      </c>
      <c r="O100" s="2">
        <v>45859</v>
      </c>
      <c r="P100">
        <v>2025</v>
      </c>
      <c r="Q100">
        <v>7</v>
      </c>
      <c r="R100" t="s">
        <v>244</v>
      </c>
      <c r="S100">
        <v>3</v>
      </c>
      <c r="T100">
        <v>4</v>
      </c>
      <c r="U100">
        <v>1</v>
      </c>
      <c r="V100" t="s">
        <v>234</v>
      </c>
    </row>
    <row r="101" spans="1:22" hidden="1" x14ac:dyDescent="0.3">
      <c r="A101" t="s">
        <v>109</v>
      </c>
      <c r="B101" t="s">
        <v>110</v>
      </c>
      <c r="C101" t="s">
        <v>222</v>
      </c>
      <c r="D101" t="s">
        <v>38</v>
      </c>
      <c r="E101" t="s">
        <v>26</v>
      </c>
      <c r="F101" t="s">
        <v>34</v>
      </c>
      <c r="G101" t="s">
        <v>27</v>
      </c>
      <c r="H101" t="s">
        <v>51</v>
      </c>
      <c r="I101" t="s">
        <v>112</v>
      </c>
      <c r="J101">
        <v>4</v>
      </c>
      <c r="K101">
        <v>194.51</v>
      </c>
      <c r="L101">
        <v>0.28000000000000003</v>
      </c>
      <c r="M101">
        <v>560.19000000000005</v>
      </c>
      <c r="N101">
        <v>152.04</v>
      </c>
      <c r="O101" s="2">
        <v>45847</v>
      </c>
      <c r="P101">
        <v>2025</v>
      </c>
      <c r="Q101">
        <v>7</v>
      </c>
      <c r="R101" t="s">
        <v>244</v>
      </c>
      <c r="S101">
        <v>3</v>
      </c>
      <c r="T101">
        <v>2</v>
      </c>
      <c r="U101">
        <v>3</v>
      </c>
      <c r="V101" t="s">
        <v>242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9B5D8-9069-4828-B150-1D4958A07FFB}">
  <dimension ref="A2:V88"/>
  <sheetViews>
    <sheetView topLeftCell="I26" workbookViewId="0">
      <selection activeCell="S34" sqref="S34"/>
    </sheetView>
  </sheetViews>
  <sheetFormatPr defaultRowHeight="14.4" x14ac:dyDescent="0.3"/>
  <cols>
    <col min="1" max="1" width="12.5546875" bestFit="1" customWidth="1"/>
    <col min="2" max="2" width="23" bestFit="1" customWidth="1"/>
    <col min="3" max="3" width="12.109375" bestFit="1" customWidth="1"/>
    <col min="4" max="4" width="18.109375" bestFit="1" customWidth="1"/>
    <col min="5" max="5" width="19.88671875" bestFit="1" customWidth="1"/>
    <col min="6" max="6" width="8.6640625" bestFit="1" customWidth="1"/>
    <col min="7" max="7" width="10.77734375" bestFit="1" customWidth="1"/>
    <col min="8" max="8" width="15.109375" bestFit="1" customWidth="1"/>
    <col min="9" max="9" width="9" bestFit="1" customWidth="1"/>
    <col min="10" max="10" width="12.5546875" bestFit="1" customWidth="1"/>
    <col min="11" max="11" width="9" bestFit="1" customWidth="1"/>
    <col min="12" max="12" width="10.33203125" bestFit="1" customWidth="1"/>
    <col min="19" max="19" width="23" bestFit="1" customWidth="1"/>
    <col min="20" max="20" width="15.5546875" bestFit="1" customWidth="1"/>
    <col min="21" max="21" width="6.6640625" bestFit="1" customWidth="1"/>
    <col min="22" max="22" width="10.77734375" bestFit="1" customWidth="1"/>
  </cols>
  <sheetData>
    <row r="2" spans="1:12" x14ac:dyDescent="0.3">
      <c r="A2" t="s">
        <v>249</v>
      </c>
      <c r="B2" t="s">
        <v>250</v>
      </c>
      <c r="C2" t="s">
        <v>251</v>
      </c>
      <c r="D2" t="s">
        <v>253</v>
      </c>
      <c r="E2" t="s">
        <v>252</v>
      </c>
      <c r="F2" t="s">
        <v>254</v>
      </c>
    </row>
    <row r="3" spans="1:12" x14ac:dyDescent="0.3">
      <c r="A3" s="4">
        <v>100627.71999999999</v>
      </c>
      <c r="B3">
        <v>478</v>
      </c>
      <c r="C3" s="4">
        <v>21172.140000000018</v>
      </c>
      <c r="D3" s="5">
        <v>0.15357894736842104</v>
      </c>
      <c r="E3">
        <v>95</v>
      </c>
      <c r="F3" s="6">
        <f>C3/A3</f>
        <v>0.21040067289609682</v>
      </c>
      <c r="J3" s="7" t="s">
        <v>255</v>
      </c>
      <c r="K3" t="s">
        <v>258</v>
      </c>
      <c r="L3" t="s">
        <v>257</v>
      </c>
    </row>
    <row r="4" spans="1:12" x14ac:dyDescent="0.3">
      <c r="J4" s="8" t="s">
        <v>238</v>
      </c>
      <c r="K4">
        <v>7647.6299999999992</v>
      </c>
      <c r="L4">
        <v>46</v>
      </c>
    </row>
    <row r="5" spans="1:12" x14ac:dyDescent="0.3">
      <c r="B5" s="7" t="s">
        <v>255</v>
      </c>
      <c r="C5" t="s">
        <v>249</v>
      </c>
      <c r="J5" s="8" t="s">
        <v>248</v>
      </c>
      <c r="K5">
        <v>1964.08</v>
      </c>
      <c r="L5">
        <v>13</v>
      </c>
    </row>
    <row r="6" spans="1:12" x14ac:dyDescent="0.3">
      <c r="B6" s="8" t="s">
        <v>20</v>
      </c>
      <c r="C6">
        <v>44999.359999999986</v>
      </c>
      <c r="J6" s="8" t="s">
        <v>236</v>
      </c>
      <c r="K6">
        <v>13679.710000000001</v>
      </c>
      <c r="L6">
        <v>82</v>
      </c>
    </row>
    <row r="7" spans="1:12" x14ac:dyDescent="0.3">
      <c r="B7" s="8" t="s">
        <v>34</v>
      </c>
      <c r="C7">
        <v>55628.359999999986</v>
      </c>
      <c r="J7" s="8" t="s">
        <v>243</v>
      </c>
      <c r="K7">
        <v>4987.7299999999996</v>
      </c>
      <c r="L7">
        <v>23</v>
      </c>
    </row>
    <row r="8" spans="1:12" x14ac:dyDescent="0.3">
      <c r="B8" s="8" t="s">
        <v>256</v>
      </c>
      <c r="C8">
        <v>100627.71999999997</v>
      </c>
      <c r="J8" s="8" t="s">
        <v>235</v>
      </c>
      <c r="K8">
        <v>6994.15</v>
      </c>
      <c r="L8">
        <v>37</v>
      </c>
    </row>
    <row r="9" spans="1:12" x14ac:dyDescent="0.3">
      <c r="J9" s="8" t="s">
        <v>240</v>
      </c>
      <c r="K9">
        <v>8701.15</v>
      </c>
      <c r="L9">
        <v>46</v>
      </c>
    </row>
    <row r="10" spans="1:12" x14ac:dyDescent="0.3">
      <c r="A10" s="7" t="s">
        <v>255</v>
      </c>
      <c r="B10" t="s">
        <v>249</v>
      </c>
      <c r="J10" s="8" t="s">
        <v>244</v>
      </c>
      <c r="K10">
        <v>15810.800000000001</v>
      </c>
      <c r="L10">
        <v>67</v>
      </c>
    </row>
    <row r="11" spans="1:12" x14ac:dyDescent="0.3">
      <c r="A11" s="8">
        <v>2025</v>
      </c>
      <c r="B11">
        <v>100627.71999999999</v>
      </c>
      <c r="J11" s="8" t="s">
        <v>232</v>
      </c>
      <c r="K11">
        <v>5242.28</v>
      </c>
      <c r="L11">
        <v>29</v>
      </c>
    </row>
    <row r="12" spans="1:12" x14ac:dyDescent="0.3">
      <c r="A12" s="8" t="s">
        <v>256</v>
      </c>
      <c r="B12">
        <v>100627.71999999999</v>
      </c>
      <c r="J12" s="8" t="s">
        <v>246</v>
      </c>
      <c r="K12">
        <v>7378.1899999999987</v>
      </c>
      <c r="L12">
        <v>30</v>
      </c>
    </row>
    <row r="13" spans="1:12" x14ac:dyDescent="0.3">
      <c r="J13" s="8" t="s">
        <v>230</v>
      </c>
      <c r="K13">
        <v>13800.58</v>
      </c>
      <c r="L13">
        <v>47</v>
      </c>
    </row>
    <row r="14" spans="1:12" x14ac:dyDescent="0.3">
      <c r="J14" s="8" t="s">
        <v>241</v>
      </c>
      <c r="K14">
        <v>12354.599999999999</v>
      </c>
      <c r="L14">
        <v>50</v>
      </c>
    </row>
    <row r="15" spans="1:12" x14ac:dyDescent="0.3">
      <c r="J15" s="8" t="s">
        <v>247</v>
      </c>
      <c r="K15">
        <v>2066.8199999999997</v>
      </c>
      <c r="L15">
        <v>8</v>
      </c>
    </row>
    <row r="28" spans="2:20" x14ac:dyDescent="0.3">
      <c r="B28" s="7" t="s">
        <v>249</v>
      </c>
      <c r="C28" s="7" t="s">
        <v>259</v>
      </c>
    </row>
    <row r="29" spans="2:20" x14ac:dyDescent="0.3">
      <c r="B29" s="7" t="s">
        <v>260</v>
      </c>
      <c r="C29" t="s">
        <v>51</v>
      </c>
      <c r="D29" t="s">
        <v>22</v>
      </c>
      <c r="E29" t="s">
        <v>28</v>
      </c>
      <c r="F29" t="s">
        <v>39</v>
      </c>
      <c r="H29" t="str">
        <f>B29</f>
        <v/>
      </c>
      <c r="I29" s="13" t="str">
        <f t="shared" ref="I29:L29" si="0">C29</f>
        <v>Books</v>
      </c>
      <c r="J29" s="13" t="str">
        <f t="shared" si="0"/>
        <v>Clothing</v>
      </c>
      <c r="K29" s="13" t="str">
        <f t="shared" si="0"/>
        <v>Electronics</v>
      </c>
      <c r="L29" s="13" t="str">
        <f t="shared" si="0"/>
        <v>Furniture</v>
      </c>
    </row>
    <row r="30" spans="2:20" x14ac:dyDescent="0.3">
      <c r="B30" s="8" t="s">
        <v>27</v>
      </c>
      <c r="C30" s="9">
        <v>0.41827712429740932</v>
      </c>
      <c r="D30" s="9">
        <v>0.1161706773794518</v>
      </c>
      <c r="E30" s="9">
        <v>0.31943823338659122</v>
      </c>
      <c r="F30" s="9">
        <v>0.1461139649365476</v>
      </c>
      <c r="H30" s="12" t="str">
        <f t="shared" ref="H30:H33" si="1">B30</f>
        <v>East</v>
      </c>
      <c r="I30" s="11">
        <f>C30</f>
        <v>0.41827712429740932</v>
      </c>
      <c r="J30" s="11">
        <f t="shared" ref="J30:J33" si="2">D30</f>
        <v>0.1161706773794518</v>
      </c>
      <c r="K30" s="11">
        <f t="shared" ref="K30:K33" si="3">E30</f>
        <v>0.31943823338659122</v>
      </c>
      <c r="L30" s="11">
        <f t="shared" ref="L30:L33" si="4">F30</f>
        <v>0.1461139649365476</v>
      </c>
    </row>
    <row r="31" spans="2:20" x14ac:dyDescent="0.3">
      <c r="B31" s="8" t="s">
        <v>21</v>
      </c>
      <c r="C31" s="9">
        <v>8.2379322096914107E-2</v>
      </c>
      <c r="D31" s="9">
        <v>0.43620435674128821</v>
      </c>
      <c r="E31" s="9">
        <v>0.1094212981218806</v>
      </c>
      <c r="F31" s="9">
        <v>0.37199502303991705</v>
      </c>
      <c r="H31" s="12" t="str">
        <f t="shared" si="1"/>
        <v>North</v>
      </c>
      <c r="I31" s="11">
        <f t="shared" ref="I31:I33" si="5">C31</f>
        <v>8.2379322096914107E-2</v>
      </c>
      <c r="J31" s="11">
        <f t="shared" si="2"/>
        <v>0.43620435674128821</v>
      </c>
      <c r="K31" s="11">
        <f t="shared" si="3"/>
        <v>0.1094212981218806</v>
      </c>
      <c r="L31" s="11">
        <f t="shared" si="4"/>
        <v>0.37199502303991705</v>
      </c>
    </row>
    <row r="32" spans="2:20" x14ac:dyDescent="0.3">
      <c r="B32" s="8" t="s">
        <v>50</v>
      </c>
      <c r="C32" s="9">
        <v>0.29473119609806375</v>
      </c>
      <c r="D32" s="9">
        <v>0.11617326699402544</v>
      </c>
      <c r="E32" s="9">
        <v>0.27595436953756969</v>
      </c>
      <c r="F32" s="9">
        <v>0.31314116737034103</v>
      </c>
      <c r="H32" s="12" t="str">
        <f t="shared" si="1"/>
        <v>South</v>
      </c>
      <c r="I32" s="11">
        <f t="shared" si="5"/>
        <v>0.29473119609806375</v>
      </c>
      <c r="J32" s="11">
        <f t="shared" si="2"/>
        <v>0.11617326699402544</v>
      </c>
      <c r="K32" s="11">
        <f t="shared" si="3"/>
        <v>0.27595436953756969</v>
      </c>
      <c r="L32" s="11">
        <f t="shared" si="4"/>
        <v>0.31314116737034103</v>
      </c>
      <c r="S32" s="7" t="s">
        <v>249</v>
      </c>
      <c r="T32" s="7" t="s">
        <v>259</v>
      </c>
    </row>
    <row r="33" spans="2:22" x14ac:dyDescent="0.3">
      <c r="B33" s="8" t="s">
        <v>56</v>
      </c>
      <c r="C33" s="9">
        <v>0.22880746745706956</v>
      </c>
      <c r="D33" s="9">
        <v>0.44331136663445059</v>
      </c>
      <c r="E33" s="9">
        <v>0.10243856374598542</v>
      </c>
      <c r="F33" s="9">
        <v>0.22544260216249448</v>
      </c>
      <c r="H33" s="12" t="str">
        <f t="shared" si="1"/>
        <v>West</v>
      </c>
      <c r="I33" s="11">
        <f t="shared" si="5"/>
        <v>0.22880746745706956</v>
      </c>
      <c r="J33" s="11">
        <f t="shared" si="2"/>
        <v>0.44331136663445059</v>
      </c>
      <c r="K33" s="11">
        <f t="shared" si="3"/>
        <v>0.10243856374598542</v>
      </c>
      <c r="L33" s="11">
        <f t="shared" si="4"/>
        <v>0.22544260216249448</v>
      </c>
      <c r="S33" s="7" t="s">
        <v>255</v>
      </c>
      <c r="T33" t="s">
        <v>20</v>
      </c>
      <c r="U33" t="s">
        <v>34</v>
      </c>
      <c r="V33" t="s">
        <v>256</v>
      </c>
    </row>
    <row r="34" spans="2:22" x14ac:dyDescent="0.3">
      <c r="S34" s="8" t="s">
        <v>70</v>
      </c>
      <c r="T34" s="10">
        <v>10274.650000000001</v>
      </c>
      <c r="U34" s="10">
        <v>16530.010000000002</v>
      </c>
      <c r="V34" s="10">
        <v>26804.660000000003</v>
      </c>
    </row>
    <row r="35" spans="2:22" x14ac:dyDescent="0.3">
      <c r="S35" s="8" t="s">
        <v>26</v>
      </c>
      <c r="T35" s="10">
        <v>8924.52</v>
      </c>
      <c r="U35" s="10">
        <v>20004.250000000004</v>
      </c>
      <c r="V35" s="10">
        <v>28928.770000000004</v>
      </c>
    </row>
    <row r="36" spans="2:22" x14ac:dyDescent="0.3">
      <c r="S36" s="8" t="s">
        <v>44</v>
      </c>
      <c r="T36" s="10">
        <v>11840.96</v>
      </c>
      <c r="U36" s="10">
        <v>8482.2599999999984</v>
      </c>
      <c r="V36" s="10">
        <v>20323.219999999998</v>
      </c>
    </row>
    <row r="37" spans="2:22" x14ac:dyDescent="0.3">
      <c r="S37" s="8" t="s">
        <v>19</v>
      </c>
      <c r="T37" s="10">
        <v>13959.230000000001</v>
      </c>
      <c r="U37" s="10">
        <v>10611.840000000002</v>
      </c>
      <c r="V37" s="10">
        <v>24571.070000000003</v>
      </c>
    </row>
    <row r="38" spans="2:22" x14ac:dyDescent="0.3">
      <c r="S38" s="8" t="s">
        <v>256</v>
      </c>
      <c r="T38" s="10">
        <v>44999.360000000001</v>
      </c>
      <c r="U38" s="10">
        <v>55628.360000000008</v>
      </c>
      <c r="V38" s="10">
        <v>100627.72000000002</v>
      </c>
    </row>
    <row r="51" spans="2:20" x14ac:dyDescent="0.3">
      <c r="S51" s="7" t="s">
        <v>255</v>
      </c>
      <c r="T51" t="s">
        <v>258</v>
      </c>
    </row>
    <row r="52" spans="2:20" x14ac:dyDescent="0.3">
      <c r="B52" s="7" t="s">
        <v>249</v>
      </c>
      <c r="C52" s="7" t="s">
        <v>259</v>
      </c>
      <c r="H52" s="7" t="s">
        <v>262</v>
      </c>
      <c r="I52" t="s">
        <v>258</v>
      </c>
      <c r="J52" t="s">
        <v>263</v>
      </c>
      <c r="L52" t="str">
        <f>H52</f>
        <v>Product name</v>
      </c>
      <c r="M52" t="str">
        <f t="shared" ref="M52:N52" si="6">I52</f>
        <v>#_Sales</v>
      </c>
      <c r="N52" t="str">
        <f t="shared" si="6"/>
        <v>#_Profit</v>
      </c>
      <c r="S52" s="8" t="s">
        <v>40</v>
      </c>
      <c r="T52" s="10">
        <v>8440.65</v>
      </c>
    </row>
    <row r="53" spans="2:20" x14ac:dyDescent="0.3">
      <c r="B53" s="7" t="s">
        <v>255</v>
      </c>
      <c r="C53" t="s">
        <v>20</v>
      </c>
      <c r="D53" t="s">
        <v>34</v>
      </c>
      <c r="E53" t="s">
        <v>256</v>
      </c>
      <c r="H53" s="8" t="s">
        <v>40</v>
      </c>
      <c r="I53">
        <v>8440.65</v>
      </c>
      <c r="J53">
        <v>1708.6000000000004</v>
      </c>
      <c r="L53" t="str">
        <f t="shared" ref="L53:L68" si="7">H53</f>
        <v>Bed</v>
      </c>
      <c r="M53">
        <f t="shared" ref="M53:M68" si="8">I53</f>
        <v>8440.65</v>
      </c>
      <c r="N53">
        <f t="shared" ref="N53:N68" si="9">J53</f>
        <v>1708.6000000000004</v>
      </c>
      <c r="S53" s="8" t="s">
        <v>86</v>
      </c>
      <c r="T53" s="10">
        <v>7074.3499999999995</v>
      </c>
    </row>
    <row r="54" spans="2:20" x14ac:dyDescent="0.3">
      <c r="B54" s="8" t="s">
        <v>51</v>
      </c>
      <c r="C54">
        <v>11848.32</v>
      </c>
      <c r="D54">
        <v>13882.800000000001</v>
      </c>
      <c r="E54">
        <v>25731.120000000003</v>
      </c>
      <c r="H54" s="8" t="s">
        <v>86</v>
      </c>
      <c r="I54">
        <v>7074.3499999999995</v>
      </c>
      <c r="J54">
        <v>1162.78</v>
      </c>
      <c r="L54" t="str">
        <f t="shared" si="7"/>
        <v>Chair</v>
      </c>
      <c r="M54">
        <f t="shared" si="8"/>
        <v>7074.3499999999995</v>
      </c>
      <c r="N54">
        <f t="shared" si="9"/>
        <v>1162.78</v>
      </c>
      <c r="S54" s="8" t="s">
        <v>112</v>
      </c>
      <c r="T54" s="10">
        <v>12239.73</v>
      </c>
    </row>
    <row r="55" spans="2:20" x14ac:dyDescent="0.3">
      <c r="B55" s="8" t="s">
        <v>22</v>
      </c>
      <c r="C55">
        <v>12263.420000000002</v>
      </c>
      <c r="D55">
        <v>15306.529999999999</v>
      </c>
      <c r="E55">
        <v>27569.95</v>
      </c>
      <c r="H55" s="8" t="s">
        <v>112</v>
      </c>
      <c r="I55">
        <v>12239.73</v>
      </c>
      <c r="J55">
        <v>2754.26</v>
      </c>
      <c r="L55" t="str">
        <f t="shared" si="7"/>
        <v>Comics</v>
      </c>
      <c r="M55">
        <f t="shared" si="8"/>
        <v>12239.73</v>
      </c>
      <c r="N55">
        <f t="shared" si="9"/>
        <v>2754.26</v>
      </c>
      <c r="S55" s="8" t="s">
        <v>35</v>
      </c>
      <c r="T55" s="10">
        <v>9717.4500000000007</v>
      </c>
    </row>
    <row r="56" spans="2:20" x14ac:dyDescent="0.3">
      <c r="B56" s="8" t="s">
        <v>28</v>
      </c>
      <c r="C56">
        <v>11162.19</v>
      </c>
      <c r="D56">
        <v>9497.2800000000007</v>
      </c>
      <c r="E56">
        <v>20659.47</v>
      </c>
      <c r="H56" s="8" t="s">
        <v>35</v>
      </c>
      <c r="I56">
        <v>9717.4500000000007</v>
      </c>
      <c r="J56">
        <v>2472.9699999999993</v>
      </c>
      <c r="L56" t="str">
        <f t="shared" si="7"/>
        <v>Dress</v>
      </c>
      <c r="M56">
        <f t="shared" si="8"/>
        <v>9717.4500000000007</v>
      </c>
      <c r="N56">
        <f t="shared" si="9"/>
        <v>2472.9699999999993</v>
      </c>
      <c r="S56" s="8" t="s">
        <v>29</v>
      </c>
      <c r="T56" s="10">
        <v>9821.99</v>
      </c>
    </row>
    <row r="57" spans="2:20" x14ac:dyDescent="0.3">
      <c r="B57" s="8" t="s">
        <v>39</v>
      </c>
      <c r="C57">
        <v>9725.4300000000021</v>
      </c>
      <c r="D57">
        <v>16941.750000000004</v>
      </c>
      <c r="E57">
        <v>26667.180000000008</v>
      </c>
      <c r="H57" s="8" t="s">
        <v>29</v>
      </c>
      <c r="I57">
        <v>10186.279999999999</v>
      </c>
      <c r="J57">
        <v>2261.6499999999996</v>
      </c>
      <c r="L57" t="str">
        <f t="shared" si="7"/>
        <v>Headphones</v>
      </c>
      <c r="M57">
        <f t="shared" si="8"/>
        <v>10186.279999999999</v>
      </c>
      <c r="N57">
        <f t="shared" si="9"/>
        <v>2261.6499999999996</v>
      </c>
      <c r="S57" s="8" t="s">
        <v>148</v>
      </c>
      <c r="T57" s="10">
        <v>4640.7199999999993</v>
      </c>
    </row>
    <row r="58" spans="2:20" x14ac:dyDescent="0.3">
      <c r="B58" s="8" t="s">
        <v>256</v>
      </c>
      <c r="C58">
        <v>44999.360000000001</v>
      </c>
      <c r="D58">
        <v>55628.36</v>
      </c>
      <c r="E58">
        <v>100627.72000000002</v>
      </c>
      <c r="H58" s="8" t="s">
        <v>148</v>
      </c>
      <c r="I58">
        <v>6890.7199999999993</v>
      </c>
      <c r="J58">
        <v>1400.5900000000001</v>
      </c>
      <c r="L58" t="str">
        <f t="shared" si="7"/>
        <v>Jacket</v>
      </c>
      <c r="M58">
        <f t="shared" si="8"/>
        <v>6890.7199999999993</v>
      </c>
      <c r="N58">
        <f t="shared" si="9"/>
        <v>1400.5900000000001</v>
      </c>
      <c r="S58" s="8" t="s">
        <v>116</v>
      </c>
      <c r="T58" s="10">
        <v>4180.7999999999993</v>
      </c>
    </row>
    <row r="59" spans="2:20" x14ac:dyDescent="0.3">
      <c r="H59" s="8" t="s">
        <v>116</v>
      </c>
      <c r="I59">
        <v>5240.6400000000003</v>
      </c>
      <c r="J59">
        <v>1063.1300000000001</v>
      </c>
      <c r="L59" t="str">
        <f t="shared" si="7"/>
        <v>Jeans</v>
      </c>
      <c r="M59">
        <f t="shared" si="8"/>
        <v>5240.6400000000003</v>
      </c>
      <c r="N59">
        <f t="shared" si="9"/>
        <v>1063.1300000000001</v>
      </c>
      <c r="S59" s="8" t="s">
        <v>93</v>
      </c>
      <c r="T59" s="10">
        <v>3468.89</v>
      </c>
    </row>
    <row r="60" spans="2:20" x14ac:dyDescent="0.3">
      <c r="H60" s="8" t="s">
        <v>93</v>
      </c>
      <c r="I60">
        <v>5417.05</v>
      </c>
      <c r="J60">
        <v>1014.1200000000001</v>
      </c>
      <c r="L60" t="str">
        <f t="shared" si="7"/>
        <v>Laptop</v>
      </c>
      <c r="M60">
        <f t="shared" si="8"/>
        <v>5417.05</v>
      </c>
      <c r="N60">
        <f t="shared" si="9"/>
        <v>1014.1200000000001</v>
      </c>
      <c r="S60" s="8" t="s">
        <v>77</v>
      </c>
      <c r="T60" s="10">
        <v>4011.38</v>
      </c>
    </row>
    <row r="61" spans="2:20" x14ac:dyDescent="0.3">
      <c r="H61" s="8" t="s">
        <v>77</v>
      </c>
      <c r="I61">
        <v>4768.3</v>
      </c>
      <c r="J61">
        <v>903.82000000000016</v>
      </c>
      <c r="L61" t="str">
        <f t="shared" si="7"/>
        <v>Magazine</v>
      </c>
      <c r="M61">
        <f t="shared" si="8"/>
        <v>4768.3</v>
      </c>
      <c r="N61">
        <f t="shared" si="9"/>
        <v>903.82000000000016</v>
      </c>
      <c r="S61" s="8" t="s">
        <v>57</v>
      </c>
      <c r="T61" s="10">
        <v>4551.3599999999997</v>
      </c>
    </row>
    <row r="62" spans="2:20" x14ac:dyDescent="0.3">
      <c r="H62" s="8" t="s">
        <v>57</v>
      </c>
      <c r="I62">
        <v>4551.3599999999997</v>
      </c>
      <c r="J62">
        <v>799.41</v>
      </c>
      <c r="L62" t="str">
        <f t="shared" si="7"/>
        <v>Novel</v>
      </c>
      <c r="M62">
        <f t="shared" si="8"/>
        <v>4551.3599999999997</v>
      </c>
      <c r="N62">
        <f t="shared" si="9"/>
        <v>799.41</v>
      </c>
      <c r="S62" s="8" t="s">
        <v>23</v>
      </c>
      <c r="T62" s="10">
        <v>9030.98</v>
      </c>
    </row>
    <row r="63" spans="2:20" x14ac:dyDescent="0.3">
      <c r="H63" s="8" t="s">
        <v>23</v>
      </c>
      <c r="I63">
        <v>9030.98</v>
      </c>
      <c r="J63">
        <v>1841.41</v>
      </c>
      <c r="L63" t="str">
        <f t="shared" si="7"/>
        <v>Shirt</v>
      </c>
      <c r="M63">
        <f t="shared" si="8"/>
        <v>9030.98</v>
      </c>
      <c r="N63">
        <f t="shared" si="9"/>
        <v>1841.41</v>
      </c>
      <c r="S63" s="8" t="s">
        <v>45</v>
      </c>
      <c r="T63" s="10">
        <v>5595.74</v>
      </c>
    </row>
    <row r="64" spans="2:20" x14ac:dyDescent="0.3">
      <c r="H64" s="8" t="s">
        <v>45</v>
      </c>
      <c r="I64">
        <v>5595.74</v>
      </c>
      <c r="J64">
        <v>974.46999999999991</v>
      </c>
      <c r="L64" t="str">
        <f t="shared" si="7"/>
        <v>Smartphone</v>
      </c>
      <c r="M64">
        <f t="shared" si="8"/>
        <v>5595.74</v>
      </c>
      <c r="N64">
        <f t="shared" si="9"/>
        <v>974.46999999999991</v>
      </c>
      <c r="S64" s="8" t="s">
        <v>66</v>
      </c>
      <c r="T64" s="10">
        <v>8455.1</v>
      </c>
    </row>
    <row r="65" spans="1:20" x14ac:dyDescent="0.3">
      <c r="A65" s="7" t="s">
        <v>261</v>
      </c>
      <c r="B65" t="s">
        <v>258</v>
      </c>
      <c r="H65" s="8" t="s">
        <v>66</v>
      </c>
      <c r="I65">
        <v>8455.1</v>
      </c>
      <c r="J65">
        <v>1695.9899999999998</v>
      </c>
      <c r="L65" t="str">
        <f t="shared" si="7"/>
        <v>Sofa</v>
      </c>
      <c r="M65">
        <f t="shared" si="8"/>
        <v>8455.1</v>
      </c>
      <c r="N65">
        <f t="shared" si="9"/>
        <v>1695.9899999999998</v>
      </c>
      <c r="S65" s="8" t="s">
        <v>118</v>
      </c>
      <c r="T65" s="10">
        <v>2697.08</v>
      </c>
    </row>
    <row r="66" spans="1:20" x14ac:dyDescent="0.3">
      <c r="A66" s="8" t="s">
        <v>54</v>
      </c>
      <c r="B66" s="10">
        <v>8505.1899999999987</v>
      </c>
      <c r="H66" s="8" t="s">
        <v>118</v>
      </c>
      <c r="I66">
        <v>2697.08</v>
      </c>
      <c r="J66">
        <v>509.43</v>
      </c>
      <c r="L66" t="str">
        <f t="shared" si="7"/>
        <v>Table</v>
      </c>
      <c r="M66">
        <f t="shared" si="8"/>
        <v>2697.08</v>
      </c>
      <c r="N66">
        <f t="shared" si="9"/>
        <v>509.43</v>
      </c>
      <c r="S66" s="8" t="s">
        <v>73</v>
      </c>
      <c r="T66" s="10">
        <v>1772.85</v>
      </c>
    </row>
    <row r="67" spans="1:20" x14ac:dyDescent="0.3">
      <c r="A67" s="8" t="s">
        <v>31</v>
      </c>
      <c r="B67" s="10">
        <v>13238.550000000001</v>
      </c>
      <c r="H67" s="8" t="s">
        <v>73</v>
      </c>
      <c r="I67">
        <v>1772.85</v>
      </c>
      <c r="J67">
        <v>423.21</v>
      </c>
      <c r="L67" t="str">
        <f t="shared" si="7"/>
        <v>Tablet</v>
      </c>
      <c r="M67">
        <f t="shared" si="8"/>
        <v>1772.85</v>
      </c>
      <c r="N67">
        <f t="shared" si="9"/>
        <v>423.21</v>
      </c>
      <c r="S67" s="8" t="s">
        <v>52</v>
      </c>
      <c r="T67" s="10">
        <v>4928.6499999999996</v>
      </c>
    </row>
    <row r="68" spans="1:20" x14ac:dyDescent="0.3">
      <c r="A68" s="8" t="s">
        <v>91</v>
      </c>
      <c r="B68" s="10">
        <v>3863.0299999999997</v>
      </c>
      <c r="H68" s="8" t="s">
        <v>52</v>
      </c>
      <c r="I68">
        <v>4928.6499999999996</v>
      </c>
      <c r="J68">
        <v>1372.4800000000002</v>
      </c>
      <c r="L68" t="str">
        <f t="shared" si="7"/>
        <v>Textbook</v>
      </c>
      <c r="M68">
        <f t="shared" si="8"/>
        <v>4928.6499999999996</v>
      </c>
      <c r="N68">
        <f t="shared" si="9"/>
        <v>1372.4800000000002</v>
      </c>
      <c r="S68" s="8" t="s">
        <v>256</v>
      </c>
      <c r="T68" s="10">
        <v>100627.72</v>
      </c>
    </row>
    <row r="69" spans="1:20" x14ac:dyDescent="0.3">
      <c r="A69" s="8" t="s">
        <v>47</v>
      </c>
      <c r="B69" s="10">
        <v>7983.92</v>
      </c>
    </row>
    <row r="70" spans="1:20" x14ac:dyDescent="0.3">
      <c r="A70" s="8" t="s">
        <v>80</v>
      </c>
      <c r="B70" s="10">
        <v>6610.07</v>
      </c>
    </row>
    <row r="71" spans="1:20" x14ac:dyDescent="0.3">
      <c r="A71" s="8" t="s">
        <v>63</v>
      </c>
      <c r="B71" s="10">
        <v>13889.380000000001</v>
      </c>
    </row>
    <row r="72" spans="1:20" x14ac:dyDescent="0.3">
      <c r="A72" s="8" t="s">
        <v>42</v>
      </c>
      <c r="B72" s="10">
        <v>18614.190000000002</v>
      </c>
    </row>
    <row r="73" spans="1:20" x14ac:dyDescent="0.3">
      <c r="A73" s="8" t="s">
        <v>16</v>
      </c>
      <c r="B73" s="10">
        <v>8679.7900000000009</v>
      </c>
    </row>
    <row r="74" spans="1:20" x14ac:dyDescent="0.3">
      <c r="A74" s="8" t="s">
        <v>59</v>
      </c>
      <c r="B74" s="10">
        <v>8578.91</v>
      </c>
    </row>
    <row r="75" spans="1:20" x14ac:dyDescent="0.3">
      <c r="A75" s="8" t="s">
        <v>110</v>
      </c>
      <c r="B75" s="10">
        <v>10664.689999999999</v>
      </c>
    </row>
    <row r="88" spans="15:15" x14ac:dyDescent="0.3">
      <c r="O88" t="s">
        <v>264</v>
      </c>
    </row>
  </sheetData>
  <conditionalFormatting sqref="I30:L30">
    <cfRule type="colorScale" priority="2">
      <colorScale>
        <cfvo type="min"/>
        <cfvo type="max"/>
        <color rgb="FFFFEF9C"/>
        <color rgb="FF63BE7B"/>
      </colorScale>
    </cfRule>
  </conditionalFormatting>
  <conditionalFormatting sqref="I31:L33">
    <cfRule type="colorScale" priority="1">
      <colorScale>
        <cfvo type="min"/>
        <cfvo type="max"/>
        <color rgb="FFFFEF9C"/>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41C44-C44D-49B3-9692-1BD14FE4C271}">
  <dimension ref="A1"/>
  <sheetViews>
    <sheetView showGridLines="0" tabSelected="1" zoomScale="72" zoomScaleNormal="85" workbookViewId="0">
      <selection activeCell="AD14" sqref="AD14"/>
    </sheetView>
  </sheetViews>
  <sheetFormatPr defaultRowHeight="14.4"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20" r:id="rId3" name="Button 24">
              <controlPr defaultSize="0" print="0" autoFill="0" autoPict="0" macro="[0]!Refresh_Bottom" altText="Tap to Refresh Data">
                <anchor moveWithCells="1">
                  <from>
                    <xdr:col>17</xdr:col>
                    <xdr:colOff>251460</xdr:colOff>
                    <xdr:row>33</xdr:row>
                    <xdr:rowOff>129540</xdr:rowOff>
                  </from>
                  <to>
                    <xdr:col>19</xdr:col>
                    <xdr:colOff>487680</xdr:colOff>
                    <xdr:row>35</xdr:row>
                    <xdr:rowOff>91440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B736A4E-9EFD-49E1-9F97-059FA473F3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Original_Data</vt:lpstr>
      <vt:lpstr>CL_Data</vt:lpstr>
      <vt:lpstr>Analysis Page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rohit kumar</dc:creator>
  <cp:lastModifiedBy>rohit kumar</cp:lastModifiedBy>
  <dcterms:created xsi:type="dcterms:W3CDTF">2026-06-19T12:07:44Z</dcterms:created>
  <dcterms:modified xsi:type="dcterms:W3CDTF">2026-06-21T11:38:49Z</dcterms:modified>
</cp:coreProperties>
</file>